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Pauta Auditoría" sheetId="2" state="visible" r:id="rId4"/>
    <sheet name="Resumen" sheetId="3" state="visible" r:id="rId5"/>
  </sheets>
  <definedNames>
    <definedName function="false" hidden="false" localSheetId="0" name="_xlnm.Print_Area" vbProcedure="false">Instrucciones!$A$1:$H$15</definedName>
    <definedName function="false" hidden="false" localSheetId="1" name="_xlnm.Print_Area" vbProcedure="false">'Pauta Auditoría'!$A$1:$M$115</definedName>
    <definedName function="false" hidden="false" localSheetId="1" name="_xlnm.Print_Titles" vbProcedure="false">'Pauta Auditoría'!$9:$9</definedName>
    <definedName function="false" hidden="false" localSheetId="2" name="_xlnm.Print_Area" vbProcedure="false">Resumen!$A$1:$J$36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<sst xmlns="http://schemas.openxmlformats.org/spreadsheetml/2006/main" count="782" uniqueCount="362">
  <si>
    <t xml:space="preserve">SISTEMA DE GESTIÓN DE SEGURIDAD, SALUD OCUPACIONAL Y MEDIO AMBIENTE</t>
  </si>
  <si>
    <t xml:space="preserve">SSOMA</t>
  </si>
  <si>
    <t xml:space="preserve">PAUTA DE EVALUACIÓN PARA AUDITORÍA – SIGO-ECC-003-06 REV. 02 – RF 06 INCENDIO</t>
  </si>
  <si>
    <t xml:space="preserve">CODIGO:10031921-SSOMA-LST-XXX</t>
  </si>
  <si>
    <t xml:space="preserve">REV: 0</t>
  </si>
  <si>
    <t xml:space="preserve">FECHA: 26-10-2026</t>
  </si>
  <si>
    <t xml:space="preserve">OBJETIVO</t>
  </si>
  <si>
    <t xml:space="preserve">Evaluar el cumplimiento del estándar SIGO-ECC-003-06 REV. 02 – RF 06 INCENDIO (Codelco) en el área o contrato auditado: controles críticos CCP1–CCP3 y CCM1–CCM2, y otros controles CP1–CP4 y CM1–CM2.</t>
  </si>
  <si>
    <t xml:space="preserve">CÓMO USAR</t>
  </si>
  <si>
    <t xml:space="preserve">1) Completar los datos generales en la hoja "Pauta Auditoría". 2) Evaluar cada ítem en la columna RESULTADO (lista desplegable). 3) Registrar la evidencia observada en todo ítem NC y definir acción correctiva, responsable y plazo. 4) La hoja "Resumen" calcula el cumplimiento automáticamente.</t>
  </si>
  <si>
    <t xml:space="preserve">CELDAS A COMPLETAR</t>
  </si>
  <si>
    <t xml:space="preserve">Solo las celdas en blanco con borde: datos generales, columna RESULTADO, evidencia observada, acción correctiva, responsable y plazo. No modificar las columnas del requisito ni las fórmulas de la hoja Resumen.</t>
  </si>
  <si>
    <t xml:space="preserve">ESCALA</t>
  </si>
  <si>
    <t xml:space="preserve">C = Cumple (1 punto) · NC = No cumple (0 puntos) · NA = No aplica (no se considera en el cálculo).</t>
  </si>
  <si>
    <t xml:space="preserve">DESVIACIONES CRÍTICAS</t>
  </si>
  <si>
    <t xml:space="preserve">En los ítems "Desviación crítica", C significa que la desviación NO se observa y NC que SÍ se observa. Una sola desviación crítica observada deja el resultado como NO CONFORME y obliga a detener la actividad y reportar.</t>
  </si>
  <si>
    <t xml:space="preserve">ENTREVISTAS</t>
  </si>
  <si>
    <t xml:space="preserve">Aplicar las preguntas de verificación del estándar a trabajador/a, supervisor/a y ejecutivo/a. Si alguna respuesta es "NO": detener la actividad, aplicar tarjeta verde y notificar al supervisor (según anexos del estándar).</t>
  </si>
  <si>
    <t xml:space="preserve">% CUMPLIMIENTO</t>
  </si>
  <si>
    <t xml:space="preserve">Se calcula como C / (C + NC), por control, por componente y en total.</t>
  </si>
  <si>
    <t xml:space="preserve">CRITERIO DE RESULTADO</t>
  </si>
  <si>
    <t xml:space="preserve">≥ 90 % Satisfactorio · 75 % – 89 % Aceptable con observaciones · &lt; 75 % Deficiente · cualquier desviación crítica = NO CONFORME. (Umbrales propuestos; ajustar a la política de auditorías de la empresa o del mandante.)</t>
  </si>
  <si>
    <t xml:space="preserve">EJEMPLO DE LLENADO</t>
  </si>
  <si>
    <t xml:space="preserve">Ítem CCP2-ED2 · Resultado: NC · Evidencia observada: "PTC N° 1234 sin firma del supervisor autorizante" · Acción: "Reinstruir al supervisor y bloquear PTC sin firma" · Responsable: Jefe de terreno · Plazo: 30-10-2026.</t>
  </si>
  <si>
    <t xml:space="preserve">OBRA O CONTRATO:</t>
  </si>
  <si>
    <t xml:space="preserve">ÁREA / INSTALACIÓN AUDITADA:</t>
  </si>
  <si>
    <t xml:space="preserve">DUEÑO/A DEL CONTROL:</t>
  </si>
  <si>
    <t xml:space="preserve">AUDITOR/A LÍDER:</t>
  </si>
  <si>
    <t xml:space="preserve">EQUIPO AUDITOR:</t>
  </si>
  <si>
    <t xml:space="preserve">FECHA AUDITORÍA:</t>
  </si>
  <si>
    <t xml:space="preserve">TIPO: INTERNA / EXTERNA</t>
  </si>
  <si>
    <t xml:space="preserve">N° ÍTEM</t>
  </si>
  <si>
    <t xml:space="preserve">CONTROL</t>
  </si>
  <si>
    <t xml:space="preserve">COMPONENTE</t>
  </si>
  <si>
    <t xml:space="preserve">REQUISITO / DESVIACIÓN / PREGUNTA</t>
  </si>
  <si>
    <t xml:space="preserve">CRITERIO Y EVIDENCIA A VERIFICAR</t>
  </si>
  <si>
    <t xml:space="preserve">FRECUENCIA MONITOREO</t>
  </si>
  <si>
    <t xml:space="preserve">MÉTODO</t>
  </si>
  <si>
    <t xml:space="preserve">RESULTADO (C / NC / NA)</t>
  </si>
  <si>
    <t xml:space="preserve">EVIDENCIA OBSERVADA / HALLAZGO</t>
  </si>
  <si>
    <t xml:space="preserve">ACCIÓN CORRECTIVA</t>
  </si>
  <si>
    <t xml:space="preserve">RESPONSABLE</t>
  </si>
  <si>
    <t xml:space="preserve">PLAZO</t>
  </si>
  <si>
    <t xml:space="preserve">CCP1 – MAPEO DE ÁREAS CRÍTICAS Y GESTIÓN DE MATERIALES COMBUSTIBLES E INFLAMABLES   (Preventivo crítico)</t>
  </si>
  <si>
    <t xml:space="preserve">CCP1-ED1</t>
  </si>
  <si>
    <t xml:space="preserve">CCP1</t>
  </si>
  <si>
    <t xml:space="preserve">Estándar de desempeño</t>
  </si>
  <si>
    <t xml:space="preserve">Mapa de áreas críticas de riesgo de incendio</t>
  </si>
  <si>
    <t xml:space="preserve">Verificar que el proceso para identificar y mapear áreas críticas esté documentado, actualizado y difundido. En terreno verificar que los mapas son visibles y conocidos por el personal.</t>
  </si>
  <si>
    <t xml:space="preserve">Semestral</t>
  </si>
  <si>
    <t xml:space="preserve">Documental / Terreno</t>
  </si>
  <si>
    <t xml:space="preserve">CCP1-ED2</t>
  </si>
  <si>
    <t xml:space="preserve">Procedimiento de almacenamiento y segregación</t>
  </si>
  <si>
    <t xml:space="preserve">Solicitar el procedimiento que define los requisitos para bodegas y zonas de almacenamiento (ventilación, contención, señalización).</t>
  </si>
  <si>
    <t xml:space="preserve">Anual</t>
  </si>
  <si>
    <t xml:space="preserve">Documental</t>
  </si>
  <si>
    <t xml:space="preserve">CCP1-ED3</t>
  </si>
  <si>
    <t xml:space="preserve">Matriz de incompatibilidad química aplicada</t>
  </si>
  <si>
    <t xml:space="preserve">Solicitar la matriz de incompatibilidad y verificar en terreno que los productos químicos están segregados según corresponda.</t>
  </si>
  <si>
    <t xml:space="preserve">Mensual</t>
  </si>
  <si>
    <t xml:space="preserve">CCP1-ED4</t>
  </si>
  <si>
    <t xml:space="preserve">Inventario y cantidades máximas controladas</t>
  </si>
  <si>
    <t xml:space="preserve">Solicitar el inventario de la bodega y verificar que no se exceden las cantidades máximas de almacenamiento permitidas.</t>
  </si>
  <si>
    <t xml:space="preserve">Trimestral</t>
  </si>
  <si>
    <t xml:space="preserve">CCP1-ED5</t>
  </si>
  <si>
    <t xml:space="preserve">Hojas de Datos de Seguridad (HDS) disponibles</t>
  </si>
  <si>
    <t xml:space="preserve">Verificar que las HDS de todos los productos almacenados están disponibles, actualizadas y son conocidas por el personal.</t>
  </si>
  <si>
    <t xml:space="preserve">CCP1-ED6</t>
  </si>
  <si>
    <t xml:space="preserve">Procedimientos de manipulación y derrame</t>
  </si>
  <si>
    <t xml:space="preserve">Solicitar los procedimientos para el trasvasije seguro y para la respuesta a derrames. Verificar que los kits de derrame están completos.</t>
  </si>
  <si>
    <t xml:space="preserve">CCP1-DV1</t>
  </si>
  <si>
    <t xml:space="preserve">Desviación crítica</t>
  </si>
  <si>
    <t xml:space="preserve">Se almacenan materiales inflamables (ej. combustibles, solventes) junto a fuentes de ignición evidentes o en áreas no autorizadas.</t>
  </si>
  <si>
    <t xml:space="preserve">C = la desviación NO se observa · NC = se observa → detener la actividad y reportar</t>
  </si>
  <si>
    <t xml:space="preserve">—</t>
  </si>
  <si>
    <t xml:space="preserve">Terreno</t>
  </si>
  <si>
    <t xml:space="preserve">CCP1-DV2</t>
  </si>
  <si>
    <t xml:space="preserve">Se almacenan productos químicos incompatibles (ej. ácidos con bases, oxidantes con combustibles) en la misma área de contención.</t>
  </si>
  <si>
    <t xml:space="preserve">CCP1-DV3</t>
  </si>
  <si>
    <t xml:space="preserve">Se realiza trasvasije de combustible u otro líquido inflamable sin controlar derrames o la electricidad estática.</t>
  </si>
  <si>
    <t xml:space="preserve">CCP1-DV4</t>
  </si>
  <si>
    <t xml:space="preserve">Una bodega de inflamables no cuenta con los sistemas básicos de seguridad requeridos (ventilación, contención de derrames).</t>
  </si>
  <si>
    <t xml:space="preserve">CCP1-DV5</t>
  </si>
  <si>
    <t xml:space="preserve">Se acumula un derrame significativo de líquido inflamable y no se toman acciones inmediatas para limpiarlo y controlarlo.</t>
  </si>
  <si>
    <t xml:space="preserve">CCP1-EN1</t>
  </si>
  <si>
    <t xml:space="preserve">Entrevista</t>
  </si>
  <si>
    <t xml:space="preserve">Trabajador/a: ¿Conozco el mapa de riesgo de incendio del área?</t>
  </si>
  <si>
    <t xml:space="preserve">Entrevistar a trabajadores del área. C = responde y demuestra conocimiento.</t>
  </si>
  <si>
    <t xml:space="preserve">CCP1-EN2</t>
  </si>
  <si>
    <t xml:space="preserve">Supervisor/a: ¿El personal a mi cargo conoce el mapa de riesgo de incendio y he verificado en terreno que los materiales inflamables y combustibles están almacenados en lugares designados y segregados?</t>
  </si>
  <si>
    <t xml:space="preserve">Entrevistar al supervisor/a del área y contrastar con terreno.</t>
  </si>
  <si>
    <t xml:space="preserve">CCP1-EN3</t>
  </si>
  <si>
    <t xml:space="preserve">Ejecutivo/a: ¿Se cuenta con un mapa de riesgo de incendio y el personal lo conoce? ¿Están segregados y almacenados los materiales combustibles e inflamables?</t>
  </si>
  <si>
    <t xml:space="preserve">Entrevistar al ejecutivo/a o dueño/a del control.</t>
  </si>
  <si>
    <t xml:space="preserve">CCP2 – CONTROL DE TRABAJOS EN CALIENTE   (Preventivo crítico)</t>
  </si>
  <si>
    <t xml:space="preserve">CCP2-ED1</t>
  </si>
  <si>
    <t xml:space="preserve">CCP2</t>
  </si>
  <si>
    <t xml:space="preserve">Procedimiento de trabajo en caliente</t>
  </si>
  <si>
    <t xml:space="preserve">Solicitar el procedimiento vigente que define los requisitos para la planificación, autorización y ejecución de trabajos en caliente.</t>
  </si>
  <si>
    <t xml:space="preserve">CCP2-ED2</t>
  </si>
  <si>
    <t xml:space="preserve">Permiso de Trabajo en Caliente (PTC)</t>
  </si>
  <si>
    <t xml:space="preserve">Solicitar el PTC de una tarea en ejecución o recién terminada, verificando su correcto llenado, firmas y autorización.</t>
  </si>
  <si>
    <t xml:space="preserve">Diario</t>
  </si>
  <si>
    <t xml:space="preserve">CCP2-ED3</t>
  </si>
  <si>
    <t xml:space="preserve">Inspección y segregación del área</t>
  </si>
  <si>
    <t xml:space="preserve">Verificar en terreno que el área del trabajo en caliente está limpia de combustibles y segregada físicamente (biombos, mantas).</t>
  </si>
  <si>
    <t xml:space="preserve">Por evento</t>
  </si>
  <si>
    <t xml:space="preserve">CCP2-ED4</t>
  </si>
  <si>
    <t xml:space="preserve">Asignación de vigía de fuego</t>
  </si>
  <si>
    <t xml:space="preserve">Verificar en el PTC o en terreno que se ha designado un vigía de fuego exclusivo para la tarea y que permanece el tiempo requerido.</t>
  </si>
  <si>
    <t xml:space="preserve">CCP2-ED5</t>
  </si>
  <si>
    <t xml:space="preserve">Equipos de extinción disponibles</t>
  </si>
  <si>
    <t xml:space="preserve">Verificar en terreno la existencia de un extintor operativo y apropiado en el punto de trabajo en caliente.</t>
  </si>
  <si>
    <t xml:space="preserve">CCP2-ED6</t>
  </si>
  <si>
    <t xml:space="preserve">Personal capacitado</t>
  </si>
  <si>
    <t xml:space="preserve">Solicitar registros de capacitación: curso del riesgo de fatalidad y curso para ejecutor de trabajo en caliente y vigía.</t>
  </si>
  <si>
    <t xml:space="preserve">CCP2-DV1</t>
  </si>
  <si>
    <t xml:space="preserve">Se ejecuta un trabajo en caliente (soldadura, oxicorte, etc.) sin un permiso de trabajo debidamente autorizado.</t>
  </si>
  <si>
    <t xml:space="preserve">CCP2-DV2</t>
  </si>
  <si>
    <t xml:space="preserve">Se realiza un trabajo en caliente en un área con materiales combustibles o inflamables no retirados o protegidos.</t>
  </si>
  <si>
    <t xml:space="preserve">CCP2-DV3</t>
  </si>
  <si>
    <t xml:space="preserve">Se realiza soldadura o corte en un estanque o tubería no certificado como purgado y libre de gases inflamables.</t>
  </si>
  <si>
    <t xml:space="preserve">CCP2-DV4</t>
  </si>
  <si>
    <t xml:space="preserve">No se cuenta con un extintor operativo en el lugar donde se realiza el trabajo en caliente.</t>
  </si>
  <si>
    <t xml:space="preserve">CCP2-DV5</t>
  </si>
  <si>
    <t xml:space="preserve">No se asigna un vigía de fuego durante una tarea de soldadura o corte en un área de alto riesgo de incendio.</t>
  </si>
  <si>
    <t xml:space="preserve">CCP2-EN1</t>
  </si>
  <si>
    <t xml:space="preserve">Trabajador/a: ¿Tengo el permiso para el trabajo en caliente, instalé la segregación (biombos, mantas ignífugas), confirmé que el área está libre de combustibles y cuento con un extintor operativo?</t>
  </si>
  <si>
    <t xml:space="preserve">Entrevistar a ejecutores y vigía en terreno.</t>
  </si>
  <si>
    <t xml:space="preserve">CCP2-EN2</t>
  </si>
  <si>
    <t xml:space="preserve">Supervisor/a: ¿Autoricé el PTC tras revisar la planificación y verifiqué en terreno la segregación, la limpieza de combustibles y la presencia del vigía de fuego?</t>
  </si>
  <si>
    <t xml:space="preserve">Entrevistar al supervisor/a que firmó el PTC.</t>
  </si>
  <si>
    <t xml:space="preserve">CCP2-EN3</t>
  </si>
  <si>
    <t xml:space="preserve">Ejecutivo/a: ¿Se garantiza que todo trabajo en caliente cuente con permiso formal, área segregada y vigilancia continua hasta su finalización y posterior a éste?</t>
  </si>
  <si>
    <t xml:space="preserve">CCP3 – SISTEMAS DE PROTECCIÓN CONTRA FUENTES DE IGNICIÓN   (Preventivo crítico)</t>
  </si>
  <si>
    <t xml:space="preserve">CCP3-ED1</t>
  </si>
  <si>
    <t xml:space="preserve">CCP3</t>
  </si>
  <si>
    <t xml:space="preserve">Protecciones eléctricas certificadas y operativas</t>
  </si>
  <si>
    <t xml:space="preserve">Solicitar los registros de pruebas y certificación de las protecciones de sobrecarga y cortocircuito de equipos críticos.</t>
  </si>
  <si>
    <t xml:space="preserve">CCP3-ED2</t>
  </si>
  <si>
    <t xml:space="preserve">Programa de inspección termográfica</t>
  </si>
  <si>
    <t xml:space="preserve">Solicitar el programa de termografía y los informes de las últimas inspecciones a tableros eléctricos y equipos mecánicos.</t>
  </si>
  <si>
    <t xml:space="preserve">CCP3-ED3</t>
  </si>
  <si>
    <t xml:space="preserve">Gestión de hallazgos termográficos</t>
  </si>
  <si>
    <t xml:space="preserve">Solicitar los planes de acción derivados de los informes de termografía y verificar el cierre de las anomalías detectadas.</t>
  </si>
  <si>
    <t xml:space="preserve">CCP3-ED4</t>
  </si>
  <si>
    <t xml:space="preserve">Integridad de cables e instalaciones eléctricas</t>
  </si>
  <si>
    <t xml:space="preserve">Solicitar los registros de inspección planeada que verifiquen el buen estado de cables, canalizaciones y tableros eléctricos.</t>
  </si>
  <si>
    <t xml:space="preserve">CCP3-ED5</t>
  </si>
  <si>
    <t xml:space="preserve">Sistemas de detección de temperatura operativos</t>
  </si>
  <si>
    <t xml:space="preserve">Verificar en terreno o en sala de control que los sensores de temperatura de equipos críticos (correas, motores) están en línea y funcionando.</t>
  </si>
  <si>
    <t xml:space="preserve">Semanal</t>
  </si>
  <si>
    <t xml:space="preserve">CCP3-ED6</t>
  </si>
  <si>
    <t xml:space="preserve">Mantenimiento preventivo de componentes mecánicos</t>
  </si>
  <si>
    <t xml:space="preserve">Solicitar el programa de mantenimiento y los registros de ejecución para componentes con riesgo de sobrecalentamiento por fricción.</t>
  </si>
  <si>
    <t xml:space="preserve">CCP3-DV1</t>
  </si>
  <si>
    <t xml:space="preserve">Un equipo eléctrico crítico opera con sus protecciones de sobrecarga o cortocircuito "puenteadas" o fuera de servicio.</t>
  </si>
  <si>
    <t xml:space="preserve">CCP3-DV2</t>
  </si>
  <si>
    <t xml:space="preserve">Se identifica un punto caliente crítico (al rojo) en termografía y no se detiene el equipo de inmediato para su corrección.</t>
  </si>
  <si>
    <t xml:space="preserve">CCP3-DV3</t>
  </si>
  <si>
    <t xml:space="preserve">Se opera un equipo con cables de fuerza con su aislación visiblemente dañada y expuesta.</t>
  </si>
  <si>
    <t xml:space="preserve">CCP3-DV4</t>
  </si>
  <si>
    <t xml:space="preserve">Un sistema de supresión de incendios de un equipo está inoperativo y el equipo continúa en funcionamiento.</t>
  </si>
  <si>
    <t xml:space="preserve">CCP3-DV5</t>
  </si>
  <si>
    <t xml:space="preserve">Se ignora y normaliza una alarma recurrente de alta temperatura en un componente mecánico crítico (ej. polín de correa).</t>
  </si>
  <si>
    <t xml:space="preserve">CCP3-EN1</t>
  </si>
  <si>
    <t xml:space="preserve">Trabajador/a: ¿Verifiqué que los equipos que opero no presentan sobrecalentamiento, cables dañados o alarmas activadas, y sé que debo detenerlos y reportar cualquier anomalía?</t>
  </si>
  <si>
    <t xml:space="preserve">Entrevistar a operadores de equipos.</t>
  </si>
  <si>
    <t xml:space="preserve">CCP3-EN2</t>
  </si>
  <si>
    <t xml:space="preserve">Supervisor/a: ¿Verifiqué que las protecciones eléctricas de equipos críticos están operativas, que se realizan las termografías programadas y que mi equipo está entrenado para detectar y reportar sobrecalentamiento?</t>
  </si>
  <si>
    <t xml:space="preserve">Entrevistar al supervisor/a del área.</t>
  </si>
  <si>
    <t xml:space="preserve">CCP3-EN3</t>
  </si>
  <si>
    <t xml:space="preserve">Ejecutivo/a: ¿Existe un programa que asegure que las protecciones eléctricas y mecánicas críticas están certificadas, operativas y con termografías vigentes?</t>
  </si>
  <si>
    <t xml:space="preserve">CCM1 – SISTEMAS DE DETECCIÓN Y EXTINCIÓN DE INCENDIOS   (Mitigador crítico)</t>
  </si>
  <si>
    <t xml:space="preserve">CCM1-ED1</t>
  </si>
  <si>
    <t xml:space="preserve">CCM1</t>
  </si>
  <si>
    <t xml:space="preserve">Programa de Inspección y Mantenimiento (PIM)</t>
  </si>
  <si>
    <t xml:space="preserve">Solicitar el PIM para todos los sistemas contra incendios y los registros que evidencien su cumplimiento.</t>
  </si>
  <si>
    <t xml:space="preserve">CCM1-ED2</t>
  </si>
  <si>
    <t xml:space="preserve">Sistemas de detección automática operativos</t>
  </si>
  <si>
    <t xml:space="preserve">Solicitar los informes de las últimas pruebas funcionales a los sistemas de detección de humo, calor o llama.</t>
  </si>
  <si>
    <t xml:space="preserve">CCM1-ED3</t>
  </si>
  <si>
    <t xml:space="preserve">Sistemas de supresión automática operativos</t>
  </si>
  <si>
    <t xml:space="preserve">Solicitar los certificados de inspección y mantenimiento de los sistemas de supresión de equipos móviles y salas críticas.</t>
  </si>
  <si>
    <t xml:space="preserve">CCM1-ED4</t>
  </si>
  <si>
    <t xml:space="preserve">Extintores portátiles inspeccionados y certificados</t>
  </si>
  <si>
    <t xml:space="preserve">Verificar en terreno que los extintores tienen sello de inspección mensual y certificación anual vigente, y están libres de obstrucción.</t>
  </si>
  <si>
    <t xml:space="preserve">CCM1-ED5</t>
  </si>
  <si>
    <t xml:space="preserve">Redes húmedas y gabinetes operativos</t>
  </si>
  <si>
    <t xml:space="preserve">Solicitar los registros de inspección y pruebas de caudal/presión de las redes húmedas y el estado de sus gabinetes.</t>
  </si>
  <si>
    <t xml:space="preserve">CCM1-ED6</t>
  </si>
  <si>
    <t xml:space="preserve">Personal capacitado en uso de extintores</t>
  </si>
  <si>
    <t xml:space="preserve">Solicitar los registros de capacitación del personal en el uso de extintores portátiles.</t>
  </si>
  <si>
    <t xml:space="preserve">CCM1-DV1</t>
  </si>
  <si>
    <t xml:space="preserve">Un equipo móvil de alto tonelaje o sala eléctrica crítica opera con su sistema de supresión automática fuera de servicio.</t>
  </si>
  <si>
    <t xml:space="preserve">CCM1-DV2</t>
  </si>
  <si>
    <t xml:space="preserve">Un área crítica con riesgo de incendio (ej. bodega de inflamables) no cuenta con detección automática de incendios operativa.</t>
  </si>
  <si>
    <t xml:space="preserve">CCM1-DV3</t>
  </si>
  <si>
    <t xml:space="preserve">Un número significativo de extintores del área tiene carga vencida, está despresurizado o bloqueado.</t>
  </si>
  <si>
    <t xml:space="preserve">CCM1-DV4</t>
  </si>
  <si>
    <t xml:space="preserve">Una red húmeda no tiene presión o está fuera de servicio sin medidas de control compensatorias.</t>
  </si>
  <si>
    <t xml:space="preserve">CCM1-DV5</t>
  </si>
  <si>
    <t xml:space="preserve">Se activa una alarma de incendio confirmada y el sistema de supresión automático del área no se activa.</t>
  </si>
  <si>
    <t xml:space="preserve">CCM1-EN1</t>
  </si>
  <si>
    <t xml:space="preserve">Trabajador/a: ¿Conozco la ubicación de extintores y alarmas de incendio de mi área, y verifiqué que están operativos, sin obstrucciones y con su inspección al día?</t>
  </si>
  <si>
    <t xml:space="preserve">Entrevistar a trabajadores del área.</t>
  </si>
  <si>
    <t xml:space="preserve">CCM1-EN2</t>
  </si>
  <si>
    <t xml:space="preserve">Supervisor/a: ¿Verifiqué que los sistemas de detección y extinción de mi área (detectores, extintores, redes húmedas) están operativos e inspeccionados, y que mi equipo sabe usarlos?</t>
  </si>
  <si>
    <t xml:space="preserve">CCM1-EN3</t>
  </si>
  <si>
    <t xml:space="preserve">Ejecutivo/a: ¿Se asegura que los sistemas de detección y extinción (automáticos, portátiles y redes) están instalados, certificados y operativos en todas las áreas críticas?</t>
  </si>
  <si>
    <t xml:space="preserve">CCM2 – CAPACIDAD DE RESPUESTA ANTE EMERGENCIAS   (Mitigador crítico)</t>
  </si>
  <si>
    <t xml:space="preserve">CCM2-ED1</t>
  </si>
  <si>
    <t xml:space="preserve">CCM2</t>
  </si>
  <si>
    <t xml:space="preserve">Plan de emergencia específico para incendios</t>
  </si>
  <si>
    <t xml:space="preserve">Solicitar el plan de emergencia y verificar su actualización, incluyendo roles, protocolos de comunicación y evacuación.</t>
  </si>
  <si>
    <t xml:space="preserve">CCM2-ED2</t>
  </si>
  <si>
    <t xml:space="preserve">Brigada de emergencia entrenada</t>
  </si>
  <si>
    <t xml:space="preserve">Solicitar los registros de entrenamiento de los integrantes de la brigada.</t>
  </si>
  <si>
    <t xml:space="preserve">CCM2-ED3</t>
  </si>
  <si>
    <t xml:space="preserve">Equipamiento de brigada y rescate operativo</t>
  </si>
  <si>
    <t xml:space="preserve">Solicitar los registros de inspección mensual de los equipos de la brigada (trajes, ERA, herramientas, carro bomba).</t>
  </si>
  <si>
    <t xml:space="preserve">CCM2-ED4</t>
  </si>
  <si>
    <t xml:space="preserve">Sistemas de alarma y comunicación funcionales</t>
  </si>
  <si>
    <t xml:space="preserve">Solicitar registros de pruebas funcionales de los sistemas de alarma y de los canales de comunicación de emergencia.</t>
  </si>
  <si>
    <t xml:space="preserve">CCM2-ED5</t>
  </si>
  <si>
    <t xml:space="preserve">Simulacros específicos realizados y evaluados</t>
  </si>
  <si>
    <t xml:space="preserve">Solicitar el informe del último simulacro de incendio, verificando tiempos de respuesta, evacuación y planes de acción.</t>
  </si>
  <si>
    <t xml:space="preserve">CCM2-ED6</t>
  </si>
  <si>
    <t xml:space="preserve">Vías de evacuación despejadas y señalizadas</t>
  </si>
  <si>
    <t xml:space="preserve">Inspeccionar en terreno que las rutas de evacuación, salidas y puntos de encuentro están despejados.</t>
  </si>
  <si>
    <t xml:space="preserve">CCM2-DV1</t>
  </si>
  <si>
    <t xml:space="preserve">Se activa una alarma de incendio y el sistema de comunicación principal para coordinar a la brigada no funciona.</t>
  </si>
  <si>
    <t xml:space="preserve">CCM2-DV2</t>
  </si>
  <si>
    <t xml:space="preserve">La brigada no está disponible, no cuenta con el personal mínimo o su equipamiento crítico no está operativo.</t>
  </si>
  <si>
    <t xml:space="preserve">CCM2-DV3</t>
  </si>
  <si>
    <t xml:space="preserve">Una vía de evacuación principal o salida de emergencia está bloqueada u obstruida.</t>
  </si>
  <si>
    <t xml:space="preserve">CCM2-DV4</t>
  </si>
  <si>
    <t xml:space="preserve">El personal no evacúa un área tras un aviso de incendio.</t>
  </si>
  <si>
    <t xml:space="preserve">CCM2-DV5</t>
  </si>
  <si>
    <t xml:space="preserve">Se desconoce la ubicación o el número de personas en el área afectada por falla en los sistemas de control de ingreso.</t>
  </si>
  <si>
    <t xml:space="preserve">CCM2-EN1</t>
  </si>
  <si>
    <t xml:space="preserve">Trabajador/a: En caso de incendio, ¿conozco la alarma, sé cómo dar el aviso de emergencia y conozco la ruta de evacuación y el punto de encuentro?</t>
  </si>
  <si>
    <t xml:space="preserve">CCM2-EN2</t>
  </si>
  <si>
    <t xml:space="preserve">Supervisor/a: ¿Verifiqué que mi equipo conoce el plan de emergencia y las rutas de evacuación, y que los sistemas de comunicación de emergencia del área están operativos?</t>
  </si>
  <si>
    <t xml:space="preserve">CCM2-EN3</t>
  </si>
  <si>
    <t xml:space="preserve">Ejecutivo/a: ¿Se dispone de un plan de emergencia probado, brigada entrenada y recursos operativos para responder eficazmente a un incendio?</t>
  </si>
  <si>
    <t xml:space="preserve">CP1 – ZONAS DESIGNADAS PARA FUMAR   (Otro control preventivo)</t>
  </si>
  <si>
    <t xml:space="preserve">CP1-R1</t>
  </si>
  <si>
    <t xml:space="preserve">CP1</t>
  </si>
  <si>
    <t xml:space="preserve">Requisito del control</t>
  </si>
  <si>
    <t xml:space="preserve">Prohibido fumar en áreas operativas, salvo en zonas explícitamente designadas, autorizadas y habilitadas.</t>
  </si>
  <si>
    <t xml:space="preserve">Verificar en terreno ausencia de fumadores o colillas fuera de zonas habilitadas.</t>
  </si>
  <si>
    <t xml:space="preserve">CP1-R2</t>
  </si>
  <si>
    <t xml:space="preserve">Zonas de fumadores señalizadas, delimitadas y con recipientes seguros (colilleros).</t>
  </si>
  <si>
    <t xml:space="preserve">Verificar en terreno señalización, delimitación y colilleros.</t>
  </si>
  <si>
    <t xml:space="preserve">CP1-R3</t>
  </si>
  <si>
    <t xml:space="preserve">Zonas de fumadores a distancia segura de combustibles, inflamables y bodegas de sustancias peligrosas, según mapa de riesgos.</t>
  </si>
  <si>
    <t xml:space="preserve">Contrastar ubicación en terreno con el mapa de riesgos.</t>
  </si>
  <si>
    <t xml:space="preserve">CP2 – SISTEMA DE REFRIGERACIÓN DE EQUIPOS   (Otro control preventivo)</t>
  </si>
  <si>
    <t xml:space="preserve">CP2-R1</t>
  </si>
  <si>
    <t xml:space="preserve">CP2</t>
  </si>
  <si>
    <t xml:space="preserve">Equipos y componentes críticos de alta temperatura con sistemas de refrigeración operativos según fabricante.</t>
  </si>
  <si>
    <t xml:space="preserve">Verificar en terreno el estado de los sistemas de refrigeración.</t>
  </si>
  <si>
    <t xml:space="preserve">CP2-R2</t>
  </si>
  <si>
    <t xml:space="preserve">Programa de inspección y mantenimiento de refrigeración (radiadores, ventiladores, niveles) con registro de cada intervención.</t>
  </si>
  <si>
    <t xml:space="preserve">Solicitar programa y registros de mantenimiento.</t>
  </si>
  <si>
    <t xml:space="preserve">CP2-R3</t>
  </si>
  <si>
    <t xml:space="preserve">Operador verifica diariamente la refrigeración en la inspección pre-operacional y monitorea indicadores de temperatura.</t>
  </si>
  <si>
    <t xml:space="preserve">Revisar check list pre-operacional y entrevistar al operador.</t>
  </si>
  <si>
    <t xml:space="preserve">CP2-R4</t>
  </si>
  <si>
    <t xml:space="preserve">Anomalías, fugas o sobrecalentamiento se reportan de inmediato y el equipo se detiene hasta su reparación.</t>
  </si>
  <si>
    <t xml:space="preserve">Revisar reportes de anomalías y su gestión.</t>
  </si>
  <si>
    <t xml:space="preserve">CP3 – ENCLAVAMIENTO DE SISTEMAS DE AIRE ACONDICIONADO EN SALAS ELÉCTRICAS   (Otro control preventivo)</t>
  </si>
  <si>
    <t xml:space="preserve">CP3-R1</t>
  </si>
  <si>
    <t xml:space="preserve">CP3</t>
  </si>
  <si>
    <t xml:space="preserve">HVAC de salas eléctricas enclavado con detección de incendios para cortar el suministro de aire en caso de amago.</t>
  </si>
  <si>
    <t xml:space="preserve">Verificar en terreno la existencia del enclavamiento.</t>
  </si>
  <si>
    <t xml:space="preserve">CP3-R2</t>
  </si>
  <si>
    <t xml:space="preserve">Pruebas funcionales documentadas de que la señal del detector detiene el sistema HVAC.</t>
  </si>
  <si>
    <t xml:space="preserve">Solicitar registros de pruebas funcionales.</t>
  </si>
  <si>
    <t xml:space="preserve">CP3-R3</t>
  </si>
  <si>
    <t xml:space="preserve">Lógica del enclavamiento documentada en planos; modificaciones gestionadas por gestión del cambio.</t>
  </si>
  <si>
    <t xml:space="preserve">Solicitar planos eléctricos / de control y registros de gestión del cambio.</t>
  </si>
  <si>
    <t xml:space="preserve">CP3-R4</t>
  </si>
  <si>
    <t xml:space="preserve">El enclavamiento no se neutraliza ni pasa a modo manual sin autorización formal y por tiempo acotado.</t>
  </si>
  <si>
    <t xml:space="preserve">Verificar estado en sala eléctrica y registros de bypass.</t>
  </si>
  <si>
    <t xml:space="preserve">CP4 – PROTECCIONES PARA MANGUERAS HIDRÁULICAS   (Otro control preventivo)</t>
  </si>
  <si>
    <t xml:space="preserve">CP4-R1</t>
  </si>
  <si>
    <t xml:space="preserve">CP4</t>
  </si>
  <si>
    <t xml:space="preserve">Mangueras hidráulicas con fluidos inflamables protegidas contra daño mecánico y superficies calientes.</t>
  </si>
  <si>
    <t xml:space="preserve">Verificar en terreno la protección de mangueras.</t>
  </si>
  <si>
    <t xml:space="preserve">CP4-R2</t>
  </si>
  <si>
    <t xml:space="preserve">Revestimientos protectores (fundas ignífugas, espirales) en tramos expuestos a roce, abrasión o fuentes de calor.</t>
  </si>
  <si>
    <t xml:space="preserve">Inspeccionar equipos en terreno.</t>
  </si>
  <si>
    <t xml:space="preserve">CP4-R3</t>
  </si>
  <si>
    <t xml:space="preserve">El operador verifica en sus inspecciones que las protecciones están en su lugar y sin roces con partes móviles.</t>
  </si>
  <si>
    <t xml:space="preserve">Revisar check list del equipo y entrevistar al operador.</t>
  </si>
  <si>
    <t xml:space="preserve">CP4-R4</t>
  </si>
  <si>
    <t xml:space="preserve">No se operan equipos con mangueras desprotegidas o dañadas; las condiciones de riesgo se reportan.</t>
  </si>
  <si>
    <t xml:space="preserve">Verificar en terreno y revisar reportes.</t>
  </si>
  <si>
    <t xml:space="preserve">CM1 – ZANJAS CORTAFUEGO   (Otro control mitigador)</t>
  </si>
  <si>
    <t xml:space="preserve">CM1-R1</t>
  </si>
  <si>
    <t xml:space="preserve">CM1</t>
  </si>
  <si>
    <t xml:space="preserve">Zanjas o franjas libres de vegetación y combustibles alrededor de instalaciones críticas o áreas con alta carga de fuego.</t>
  </si>
  <si>
    <t xml:space="preserve">Verificar en terreno su existencia.</t>
  </si>
  <si>
    <t xml:space="preserve">CM1-R2</t>
  </si>
  <si>
    <t xml:space="preserve">Ubicación y dimensiones definidas por el supervisor según mapa de riesgos, topografía y carga combustible.</t>
  </si>
  <si>
    <t xml:space="preserve">Solicitar definición / plano de zanjas cortafuego.</t>
  </si>
  <si>
    <t xml:space="preserve">CM1-R3</t>
  </si>
  <si>
    <t xml:space="preserve">Programa de mantenimiento periódico que asegure zanjas despejadas.</t>
  </si>
  <si>
    <t xml:space="preserve">CM1-R4</t>
  </si>
  <si>
    <t xml:space="preserve">Inspecciones programadas incluyen la verificación de las zanjas y gestión de acciones correctivas.</t>
  </si>
  <si>
    <t xml:space="preserve">Revisar registros de inspección.</t>
  </si>
  <si>
    <t xml:space="preserve">CM2 – VÍAS DE EVACUACIÓN Y SALIDAS DE EMERGENCIA DESPEJADAS Y SEÑALIZADAS   (Otro control mitigador)</t>
  </si>
  <si>
    <t xml:space="preserve">CM2-R1</t>
  </si>
  <si>
    <t xml:space="preserve">CM2</t>
  </si>
  <si>
    <t xml:space="preserve">Vías de evacuación y salidas de emergencia identificadas, señalizadas y permanentemente despejadas.</t>
  </si>
  <si>
    <t xml:space="preserve">Recorrer en terreno las rutas y salidas.</t>
  </si>
  <si>
    <t xml:space="preserve">CM2-R2</t>
  </si>
  <si>
    <t xml:space="preserve">Supervisor asegura que las vías y salidas estén libres de materiales, equipos o mobiliario.</t>
  </si>
  <si>
    <t xml:space="preserve">Verificar en terreno.</t>
  </si>
  <si>
    <t xml:space="preserve">CM2-R3</t>
  </si>
  <si>
    <t xml:space="preserve">Señalización visible, en buen estado, según normativa, con iluminación de emergencia.</t>
  </si>
  <si>
    <t xml:space="preserve">Verificar señalética e iluminación de emergencia.</t>
  </si>
  <si>
    <t xml:space="preserve">CM2-R4</t>
  </si>
  <si>
    <t xml:space="preserve">Inspecciones periódicas documentadas con corrección inmediata de desviaciones.</t>
  </si>
  <si>
    <t xml:space="preserve">Solicitar registros de inspección.</t>
  </si>
  <si>
    <t xml:space="preserve">OBSERVACIONES GENERALES:</t>
  </si>
  <si>
    <t xml:space="preserve">RESUMEN DE AUDITORÍA – SIGO-ECC-003-06 REV. 02 – RF 06 INCENDIO</t>
  </si>
  <si>
    <t xml:space="preserve">A. CUMPLIMIENTO POR CONTROL</t>
  </si>
  <si>
    <t xml:space="preserve">CÓDIGO</t>
  </si>
  <si>
    <t xml:space="preserve">TIPO</t>
  </si>
  <si>
    <t xml:space="preserve">N° ÍTEMS</t>
  </si>
  <si>
    <t xml:space="preserve">C</t>
  </si>
  <si>
    <t xml:space="preserve">NC</t>
  </si>
  <si>
    <t xml:space="preserve">NA</t>
  </si>
  <si>
    <t xml:space="preserve">Mapeo de áreas críticas y Gestión de Materiales Combustibles e Inflamables</t>
  </si>
  <si>
    <t xml:space="preserve">Preventivo crítico</t>
  </si>
  <si>
    <t xml:space="preserve">Control de trabajos en caliente</t>
  </si>
  <si>
    <t xml:space="preserve">Sistemas de protección contra fuentes de ignición</t>
  </si>
  <si>
    <t xml:space="preserve">Sistemas de detección y extinción de incendios</t>
  </si>
  <si>
    <t xml:space="preserve">Mitigador crítico</t>
  </si>
  <si>
    <t xml:space="preserve">Capacidad de respuesta ante emergencias</t>
  </si>
  <si>
    <t xml:space="preserve">Zonas designadas para fumar</t>
  </si>
  <si>
    <t xml:space="preserve">Otro control preventivo</t>
  </si>
  <si>
    <t xml:space="preserve">Sistema de refrigeración de equipos</t>
  </si>
  <si>
    <t xml:space="preserve">Enclavamiento de sistemas de aire acondicionado en salas eléctricas</t>
  </si>
  <si>
    <t xml:space="preserve">Protecciones para mangueras hidráulicas</t>
  </si>
  <si>
    <t xml:space="preserve">Zanjas cortafuego</t>
  </si>
  <si>
    <t xml:space="preserve">Otro control mitigador</t>
  </si>
  <si>
    <t xml:space="preserve">Vías de evacuación y salidas de emergencia despejadas y señalizadas</t>
  </si>
  <si>
    <t xml:space="preserve">TOTAL</t>
  </si>
  <si>
    <t xml:space="preserve">B. CUMPLIMIENTO POR COMPONENTE</t>
  </si>
  <si>
    <t xml:space="preserve">C. RESULTADO DE LA AUDITORÍA</t>
  </si>
  <si>
    <t xml:space="preserve">% CUMPLIMIENTO GLOBAL</t>
  </si>
  <si>
    <t xml:space="preserve">CALIFICACIÓN</t>
  </si>
  <si>
    <t xml:space="preserve">Criterio: ≥ 90 % Satisfactorio · 75 % – 89 % Aceptable con observaciones · &lt; 75 % Deficiente · cualquier desviación crítica observada = NO CONFORME. (Umbrales propuestos, ajustables.)</t>
  </si>
  <si>
    <t xml:space="preserve">CONCLUSIONES DEL AUDITOR/A:</t>
  </si>
  <si>
    <t xml:space="preserve">AUDITOR/A LÍDER (NOMBRE, CARGO Y FIRMA):</t>
  </si>
  <si>
    <t xml:space="preserve">DUEÑO/A DEL CONTROL (NOMBRE, CARGO Y FIRMA):</t>
  </si>
  <si>
    <t xml:space="preserve">REVISA (NOMBRE, CARGO Y FIRMA):</t>
  </si>
  <si>
    <t xml:space="preserve">FECHA DE CIERRE DE ACCIONES: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</si>
</sst>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7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1F1"/>
        <bgColor rgb="FFDCE6F1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F1F1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ill>
        <patternFill>
          <bgColor rgb="FFF1F1F1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1428480</xdr:colOff>
      <xdr:row>1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190440"/>
          <a:ext cx="1428480" cy="17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300960</xdr:colOff>
      <xdr:row>1</xdr:row>
      <xdr:rowOff>171000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190440"/>
          <a:ext cx="1428480" cy="17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1</xdr:row>
      <xdr:rowOff>171000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1120" y="190440"/>
          <a:ext cx="1428480" cy="17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25.5" hidden="false" customHeight="true" outlineLevel="0" collapsed="false">
      <c r="B2" s="1"/>
      <c r="C2" s="2" t="s">
        <v>0</v>
      </c>
      <c r="D2" s="2"/>
      <c r="E2" s="2"/>
      <c r="F2" s="2"/>
      <c r="G2" s="3" t="s">
        <v>1</v>
      </c>
      <c r="H2" s="3"/>
    </row>
    <row r="3" customFormat="false" ht="15" hidden="false" customHeight="true" outlineLevel="0" collapsed="false">
      <c r="B3" s="1"/>
      <c r="C3" s="4" t="s">
        <v>2</v>
      </c>
      <c r="D3" s="4"/>
      <c r="E3" s="4"/>
      <c r="F3" s="4"/>
      <c r="G3" s="5" t="s">
        <v>3</v>
      </c>
      <c r="H3" s="5"/>
    </row>
    <row r="4" customFormat="false" ht="15" hidden="false" customHeight="true" outlineLevel="0" collapsed="false">
      <c r="B4" s="1"/>
      <c r="C4" s="1"/>
      <c r="D4" s="4"/>
      <c r="E4" s="4"/>
      <c r="F4" s="4"/>
      <c r="G4" s="5" t="s">
        <v>4</v>
      </c>
      <c r="H4" s="5" t="s">
        <v>5</v>
      </c>
    </row>
    <row r="6" customFormat="false" ht="37.5" hidden="false" customHeight="true" outlineLevel="0" collapsed="false">
      <c r="B6" s="6" t="s">
        <v>6</v>
      </c>
      <c r="C6" s="7" t="s">
        <v>7</v>
      </c>
      <c r="D6" s="7"/>
      <c r="E6" s="7"/>
      <c r="F6" s="7"/>
      <c r="G6" s="7"/>
      <c r="H6" s="7"/>
    </row>
    <row r="7" customFormat="false" ht="37.5" hidden="false" customHeight="true" outlineLevel="0" collapsed="false">
      <c r="B7" s="6" t="s">
        <v>8</v>
      </c>
      <c r="C7" s="7" t="s">
        <v>9</v>
      </c>
      <c r="D7" s="7"/>
      <c r="E7" s="7"/>
      <c r="F7" s="7"/>
      <c r="G7" s="7"/>
      <c r="H7" s="7"/>
    </row>
    <row r="8" customFormat="false" ht="37.5" hidden="false" customHeight="true" outlineLevel="0" collapsed="false">
      <c r="B8" s="6" t="s">
        <v>10</v>
      </c>
      <c r="C8" s="7" t="s">
        <v>11</v>
      </c>
      <c r="D8" s="7"/>
      <c r="E8" s="7"/>
      <c r="F8" s="7"/>
      <c r="G8" s="7"/>
      <c r="H8" s="7"/>
    </row>
    <row r="9" customFormat="false" ht="37.5" hidden="false" customHeight="true" outlineLevel="0" collapsed="false">
      <c r="B9" s="6" t="s">
        <v>12</v>
      </c>
      <c r="C9" s="7" t="s">
        <v>13</v>
      </c>
      <c r="D9" s="7"/>
      <c r="E9" s="7"/>
      <c r="F9" s="7"/>
      <c r="G9" s="7"/>
      <c r="H9" s="7"/>
    </row>
    <row r="10" customFormat="false" ht="37.5" hidden="false" customHeight="true" outlineLevel="0" collapsed="false">
      <c r="B10" s="6" t="s">
        <v>14</v>
      </c>
      <c r="C10" s="7" t="s">
        <v>15</v>
      </c>
      <c r="D10" s="7"/>
      <c r="E10" s="7"/>
      <c r="F10" s="7"/>
      <c r="G10" s="7"/>
      <c r="H10" s="7"/>
    </row>
    <row r="11" customFormat="false" ht="37.5" hidden="false" customHeight="true" outlineLevel="0" collapsed="false">
      <c r="B11" s="6" t="s">
        <v>16</v>
      </c>
      <c r="C11" s="7" t="s">
        <v>17</v>
      </c>
      <c r="D11" s="7"/>
      <c r="E11" s="7"/>
      <c r="F11" s="7"/>
      <c r="G11" s="7"/>
      <c r="H11" s="7"/>
    </row>
    <row r="12" customFormat="false" ht="37.5" hidden="false" customHeight="true" outlineLevel="0" collapsed="false">
      <c r="B12" s="6" t="s">
        <v>18</v>
      </c>
      <c r="C12" s="7" t="s">
        <v>19</v>
      </c>
      <c r="D12" s="7"/>
      <c r="E12" s="7"/>
      <c r="F12" s="7"/>
      <c r="G12" s="7"/>
      <c r="H12" s="7"/>
    </row>
    <row r="13" customFormat="false" ht="37.5" hidden="false" customHeight="true" outlineLevel="0" collapsed="false">
      <c r="B13" s="6" t="s">
        <v>20</v>
      </c>
      <c r="C13" s="7" t="s">
        <v>21</v>
      </c>
      <c r="D13" s="7"/>
      <c r="E13" s="7"/>
      <c r="F13" s="7"/>
      <c r="G13" s="7"/>
      <c r="H13" s="7"/>
    </row>
    <row r="14" customFormat="false" ht="37.5" hidden="false" customHeight="true" outlineLevel="0" collapsed="false">
      <c r="B14" s="6" t="s">
        <v>22</v>
      </c>
      <c r="C14" s="7" t="s">
        <v>23</v>
      </c>
      <c r="D14" s="7"/>
      <c r="E14" s="7"/>
      <c r="F14" s="7"/>
      <c r="G14" s="7"/>
      <c r="H14" s="7"/>
    </row>
  </sheetData>
  <mergeCells count="14">
    <mergeCell ref="B2:B4"/>
    <mergeCell ref="C2:F2"/>
    <mergeCell ref="G2:H2"/>
    <mergeCell ref="C3:F4"/>
    <mergeCell ref="G3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6" min="5" style="0" width="4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13"/>
  </cols>
  <sheetData>
    <row r="2" customFormat="false" ht="18" hidden="false" customHeight="true" outlineLevel="0" collapsed="false">
      <c r="B2" s="1"/>
      <c r="C2" s="1"/>
      <c r="D2" s="1"/>
      <c r="E2" s="2" t="s">
        <v>0</v>
      </c>
      <c r="F2" s="2"/>
      <c r="G2" s="2"/>
      <c r="H2" s="2"/>
      <c r="I2" s="2"/>
      <c r="J2" s="2"/>
      <c r="K2" s="3" t="s">
        <v>1</v>
      </c>
      <c r="L2" s="3"/>
      <c r="M2" s="3"/>
    </row>
    <row r="3" customFormat="false" ht="15" hidden="false" customHeight="true" outlineLevel="0" collapsed="false">
      <c r="B3" s="1"/>
      <c r="C3" s="1"/>
      <c r="D3" s="1"/>
      <c r="E3" s="4" t="s">
        <v>2</v>
      </c>
      <c r="F3" s="4"/>
      <c r="G3" s="4"/>
      <c r="H3" s="4"/>
      <c r="I3" s="4"/>
      <c r="J3" s="4"/>
      <c r="K3" s="5" t="s">
        <v>3</v>
      </c>
      <c r="L3" s="5"/>
      <c r="M3" s="5"/>
    </row>
    <row r="4" customFormat="false" ht="15" hidden="false" customHeight="true" outlineLevel="0" collapsed="false">
      <c r="B4" s="1"/>
      <c r="C4" s="1"/>
      <c r="D4" s="1"/>
      <c r="E4" s="4"/>
      <c r="F4" s="4"/>
      <c r="G4" s="4"/>
      <c r="H4" s="4"/>
      <c r="I4" s="4"/>
      <c r="J4" s="4"/>
      <c r="K4" s="5" t="s">
        <v>4</v>
      </c>
      <c r="L4" s="5"/>
      <c r="M4" s="5" t="s">
        <v>5</v>
      </c>
    </row>
    <row r="6" customFormat="false" ht="21.75" hidden="false" customHeight="true" outlineLevel="0" collapsed="false">
      <c r="B6" s="8" t="s">
        <v>24</v>
      </c>
      <c r="C6" s="8"/>
      <c r="D6" s="8"/>
      <c r="E6" s="8"/>
      <c r="F6" s="8" t="s">
        <v>25</v>
      </c>
      <c r="G6" s="8"/>
      <c r="H6" s="8"/>
      <c r="I6" s="8" t="s">
        <v>26</v>
      </c>
      <c r="J6" s="8"/>
      <c r="K6" s="8"/>
      <c r="L6" s="8"/>
      <c r="M6" s="8"/>
    </row>
    <row r="7" customFormat="false" ht="21.75" hidden="false" customHeight="true" outlineLevel="0" collapsed="false">
      <c r="B7" s="8" t="s">
        <v>27</v>
      </c>
      <c r="C7" s="8"/>
      <c r="D7" s="8"/>
      <c r="E7" s="8"/>
      <c r="F7" s="8" t="s">
        <v>28</v>
      </c>
      <c r="G7" s="8"/>
      <c r="H7" s="8"/>
      <c r="I7" s="8" t="s">
        <v>29</v>
      </c>
      <c r="J7" s="8"/>
      <c r="K7" s="8"/>
      <c r="L7" s="8" t="s">
        <v>30</v>
      </c>
      <c r="M7" s="8"/>
    </row>
    <row r="9" customFormat="false" ht="30" hidden="false" customHeight="true" outlineLevel="0" collapsed="false">
      <c r="B9" s="9" t="s">
        <v>31</v>
      </c>
      <c r="C9" s="9" t="s">
        <v>32</v>
      </c>
      <c r="D9" s="9" t="s">
        <v>33</v>
      </c>
      <c r="E9" s="9" t="s">
        <v>34</v>
      </c>
      <c r="F9" s="9" t="s">
        <v>35</v>
      </c>
      <c r="G9" s="9" t="s">
        <v>36</v>
      </c>
      <c r="H9" s="9" t="s">
        <v>37</v>
      </c>
      <c r="I9" s="9" t="s">
        <v>38</v>
      </c>
      <c r="J9" s="9" t="s">
        <v>39</v>
      </c>
      <c r="K9" s="9" t="s">
        <v>40</v>
      </c>
      <c r="L9" s="9" t="s">
        <v>41</v>
      </c>
      <c r="M9" s="9" t="s">
        <v>42</v>
      </c>
    </row>
    <row r="10" customFormat="false" ht="15" hidden="false" customHeight="true" outlineLevel="0" collapsed="false">
      <c r="B10" s="10" t="s">
        <v>43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37.5" hidden="false" customHeight="true" outlineLevel="0" collapsed="false">
      <c r="B11" s="11" t="s">
        <v>44</v>
      </c>
      <c r="C11" s="11" t="s">
        <v>45</v>
      </c>
      <c r="D11" s="11" t="s">
        <v>46</v>
      </c>
      <c r="E11" s="12" t="s">
        <v>47</v>
      </c>
      <c r="F11" s="12" t="s">
        <v>48</v>
      </c>
      <c r="G11" s="11" t="s">
        <v>49</v>
      </c>
      <c r="H11" s="11" t="s">
        <v>50</v>
      </c>
      <c r="I11" s="11"/>
      <c r="J11" s="12"/>
      <c r="K11" s="12"/>
      <c r="L11" s="11"/>
      <c r="M11" s="11"/>
    </row>
    <row r="12" customFormat="false" ht="28.5" hidden="false" customHeight="true" outlineLevel="0" collapsed="false">
      <c r="B12" s="11" t="s">
        <v>51</v>
      </c>
      <c r="C12" s="11" t="s">
        <v>45</v>
      </c>
      <c r="D12" s="11" t="s">
        <v>46</v>
      </c>
      <c r="E12" s="12" t="s">
        <v>52</v>
      </c>
      <c r="F12" s="12" t="s">
        <v>53</v>
      </c>
      <c r="G12" s="11" t="s">
        <v>54</v>
      </c>
      <c r="H12" s="11" t="s">
        <v>55</v>
      </c>
      <c r="I12" s="11"/>
      <c r="J12" s="12"/>
      <c r="K12" s="12"/>
      <c r="L12" s="11"/>
      <c r="M12" s="11"/>
    </row>
    <row r="13" customFormat="false" ht="28.5" hidden="false" customHeight="true" outlineLevel="0" collapsed="false">
      <c r="B13" s="11" t="s">
        <v>56</v>
      </c>
      <c r="C13" s="11" t="s">
        <v>45</v>
      </c>
      <c r="D13" s="11" t="s">
        <v>46</v>
      </c>
      <c r="E13" s="12" t="s">
        <v>57</v>
      </c>
      <c r="F13" s="12" t="s">
        <v>58</v>
      </c>
      <c r="G13" s="11" t="s">
        <v>59</v>
      </c>
      <c r="H13" s="11" t="s">
        <v>50</v>
      </c>
      <c r="I13" s="11"/>
      <c r="J13" s="12"/>
      <c r="K13" s="12"/>
      <c r="L13" s="11"/>
      <c r="M13" s="11"/>
    </row>
    <row r="14" customFormat="false" ht="28.5" hidden="false" customHeight="true" outlineLevel="0" collapsed="false">
      <c r="B14" s="11" t="s">
        <v>60</v>
      </c>
      <c r="C14" s="11" t="s">
        <v>45</v>
      </c>
      <c r="D14" s="11" t="s">
        <v>46</v>
      </c>
      <c r="E14" s="12" t="s">
        <v>61</v>
      </c>
      <c r="F14" s="12" t="s">
        <v>62</v>
      </c>
      <c r="G14" s="11" t="s">
        <v>63</v>
      </c>
      <c r="H14" s="11" t="s">
        <v>50</v>
      </c>
      <c r="I14" s="11"/>
      <c r="J14" s="12"/>
      <c r="K14" s="12"/>
      <c r="L14" s="11"/>
      <c r="M14" s="11"/>
    </row>
    <row r="15" customFormat="false" ht="28.5" hidden="false" customHeight="true" outlineLevel="0" collapsed="false">
      <c r="B15" s="11" t="s">
        <v>64</v>
      </c>
      <c r="C15" s="11" t="s">
        <v>45</v>
      </c>
      <c r="D15" s="11" t="s">
        <v>46</v>
      </c>
      <c r="E15" s="12" t="s">
        <v>65</v>
      </c>
      <c r="F15" s="12" t="s">
        <v>66</v>
      </c>
      <c r="G15" s="11" t="s">
        <v>49</v>
      </c>
      <c r="H15" s="11" t="s">
        <v>50</v>
      </c>
      <c r="I15" s="11"/>
      <c r="J15" s="12"/>
      <c r="K15" s="12"/>
      <c r="L15" s="11"/>
      <c r="M15" s="11"/>
    </row>
    <row r="16" customFormat="false" ht="28.5" hidden="false" customHeight="true" outlineLevel="0" collapsed="false">
      <c r="B16" s="11" t="s">
        <v>67</v>
      </c>
      <c r="C16" s="11" t="s">
        <v>45</v>
      </c>
      <c r="D16" s="11" t="s">
        <v>46</v>
      </c>
      <c r="E16" s="12" t="s">
        <v>68</v>
      </c>
      <c r="F16" s="12" t="s">
        <v>69</v>
      </c>
      <c r="G16" s="11" t="s">
        <v>54</v>
      </c>
      <c r="H16" s="11" t="s">
        <v>50</v>
      </c>
      <c r="I16" s="11"/>
      <c r="J16" s="12"/>
      <c r="K16" s="12"/>
      <c r="L16" s="11"/>
      <c r="M16" s="11"/>
    </row>
    <row r="17" customFormat="false" ht="28.5" hidden="false" customHeight="true" outlineLevel="0" collapsed="false">
      <c r="B17" s="11" t="s">
        <v>70</v>
      </c>
      <c r="C17" s="11" t="s">
        <v>45</v>
      </c>
      <c r="D17" s="13" t="s">
        <v>71</v>
      </c>
      <c r="E17" s="12" t="s">
        <v>72</v>
      </c>
      <c r="F17" s="12" t="s">
        <v>73</v>
      </c>
      <c r="G17" s="11" t="s">
        <v>74</v>
      </c>
      <c r="H17" s="11" t="s">
        <v>75</v>
      </c>
      <c r="I17" s="11"/>
      <c r="J17" s="12"/>
      <c r="K17" s="12"/>
      <c r="L17" s="11"/>
      <c r="M17" s="11"/>
    </row>
    <row r="18" customFormat="false" ht="28.5" hidden="false" customHeight="true" outlineLevel="0" collapsed="false">
      <c r="B18" s="11" t="s">
        <v>76</v>
      </c>
      <c r="C18" s="11" t="s">
        <v>45</v>
      </c>
      <c r="D18" s="13" t="s">
        <v>71</v>
      </c>
      <c r="E18" s="12" t="s">
        <v>77</v>
      </c>
      <c r="F18" s="12" t="s">
        <v>73</v>
      </c>
      <c r="G18" s="11" t="s">
        <v>74</v>
      </c>
      <c r="H18" s="11" t="s">
        <v>75</v>
      </c>
      <c r="I18" s="11"/>
      <c r="J18" s="12"/>
      <c r="K18" s="12"/>
      <c r="L18" s="11"/>
      <c r="M18" s="11"/>
    </row>
    <row r="19" customFormat="false" ht="28.5" hidden="false" customHeight="true" outlineLevel="0" collapsed="false">
      <c r="B19" s="11" t="s">
        <v>78</v>
      </c>
      <c r="C19" s="11" t="s">
        <v>45</v>
      </c>
      <c r="D19" s="13" t="s">
        <v>71</v>
      </c>
      <c r="E19" s="12" t="s">
        <v>79</v>
      </c>
      <c r="F19" s="12" t="s">
        <v>73</v>
      </c>
      <c r="G19" s="11" t="s">
        <v>74</v>
      </c>
      <c r="H19" s="11" t="s">
        <v>75</v>
      </c>
      <c r="I19" s="11"/>
      <c r="J19" s="12"/>
      <c r="K19" s="12"/>
      <c r="L19" s="11"/>
      <c r="M19" s="11"/>
    </row>
    <row r="20" customFormat="false" ht="28.5" hidden="false" customHeight="true" outlineLevel="0" collapsed="false">
      <c r="B20" s="11" t="s">
        <v>80</v>
      </c>
      <c r="C20" s="11" t="s">
        <v>45</v>
      </c>
      <c r="D20" s="13" t="s">
        <v>71</v>
      </c>
      <c r="E20" s="12" t="s">
        <v>81</v>
      </c>
      <c r="F20" s="12" t="s">
        <v>73</v>
      </c>
      <c r="G20" s="11" t="s">
        <v>74</v>
      </c>
      <c r="H20" s="11" t="s">
        <v>75</v>
      </c>
      <c r="I20" s="11"/>
      <c r="J20" s="12"/>
      <c r="K20" s="12"/>
      <c r="L20" s="11"/>
      <c r="M20" s="11"/>
    </row>
    <row r="21" customFormat="false" ht="28.5" hidden="false" customHeight="true" outlineLevel="0" collapsed="false">
      <c r="B21" s="11" t="s">
        <v>82</v>
      </c>
      <c r="C21" s="11" t="s">
        <v>45</v>
      </c>
      <c r="D21" s="13" t="s">
        <v>71</v>
      </c>
      <c r="E21" s="12" t="s">
        <v>83</v>
      </c>
      <c r="F21" s="12" t="s">
        <v>73</v>
      </c>
      <c r="G21" s="11" t="s">
        <v>74</v>
      </c>
      <c r="H21" s="11" t="s">
        <v>75</v>
      </c>
      <c r="I21" s="11"/>
      <c r="J21" s="12"/>
      <c r="K21" s="12"/>
      <c r="L21" s="11"/>
      <c r="M21" s="11"/>
    </row>
    <row r="22" customFormat="false" ht="19.5" hidden="false" customHeight="true" outlineLevel="0" collapsed="false">
      <c r="B22" s="11" t="s">
        <v>84</v>
      </c>
      <c r="C22" s="11" t="s">
        <v>45</v>
      </c>
      <c r="D22" s="11" t="s">
        <v>85</v>
      </c>
      <c r="E22" s="12" t="s">
        <v>86</v>
      </c>
      <c r="F22" s="12" t="s">
        <v>87</v>
      </c>
      <c r="G22" s="11" t="s">
        <v>74</v>
      </c>
      <c r="H22" s="11" t="s">
        <v>85</v>
      </c>
      <c r="I22" s="11"/>
      <c r="J22" s="12"/>
      <c r="K22" s="12"/>
      <c r="L22" s="11"/>
      <c r="M22" s="11"/>
    </row>
    <row r="23" customFormat="false" ht="37.5" hidden="false" customHeight="true" outlineLevel="0" collapsed="false">
      <c r="B23" s="11" t="s">
        <v>88</v>
      </c>
      <c r="C23" s="11" t="s">
        <v>45</v>
      </c>
      <c r="D23" s="11" t="s">
        <v>85</v>
      </c>
      <c r="E23" s="12" t="s">
        <v>89</v>
      </c>
      <c r="F23" s="12" t="s">
        <v>90</v>
      </c>
      <c r="G23" s="11" t="s">
        <v>74</v>
      </c>
      <c r="H23" s="11" t="s">
        <v>85</v>
      </c>
      <c r="I23" s="11"/>
      <c r="J23" s="12"/>
      <c r="K23" s="12"/>
      <c r="L23" s="11"/>
      <c r="M23" s="11"/>
    </row>
    <row r="24" customFormat="false" ht="37.5" hidden="false" customHeight="true" outlineLevel="0" collapsed="false">
      <c r="B24" s="11" t="s">
        <v>91</v>
      </c>
      <c r="C24" s="11" t="s">
        <v>45</v>
      </c>
      <c r="D24" s="11" t="s">
        <v>85</v>
      </c>
      <c r="E24" s="12" t="s">
        <v>92</v>
      </c>
      <c r="F24" s="12" t="s">
        <v>93</v>
      </c>
      <c r="G24" s="11" t="s">
        <v>74</v>
      </c>
      <c r="H24" s="11" t="s">
        <v>85</v>
      </c>
      <c r="I24" s="11"/>
      <c r="J24" s="12"/>
      <c r="K24" s="12"/>
      <c r="L24" s="11"/>
      <c r="M24" s="11"/>
    </row>
    <row r="25" customFormat="false" ht="15" hidden="false" customHeight="true" outlineLevel="0" collapsed="false">
      <c r="B25" s="10" t="s">
        <v>94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28.5" hidden="false" customHeight="true" outlineLevel="0" collapsed="false">
      <c r="B26" s="11" t="s">
        <v>95</v>
      </c>
      <c r="C26" s="11" t="s">
        <v>96</v>
      </c>
      <c r="D26" s="11" t="s">
        <v>46</v>
      </c>
      <c r="E26" s="12" t="s">
        <v>97</v>
      </c>
      <c r="F26" s="12" t="s">
        <v>98</v>
      </c>
      <c r="G26" s="11" t="s">
        <v>54</v>
      </c>
      <c r="H26" s="11" t="s">
        <v>55</v>
      </c>
      <c r="I26" s="11"/>
      <c r="J26" s="12"/>
      <c r="K26" s="12"/>
      <c r="L26" s="11"/>
      <c r="M26" s="11"/>
    </row>
    <row r="27" customFormat="false" ht="28.5" hidden="false" customHeight="true" outlineLevel="0" collapsed="false">
      <c r="B27" s="11" t="s">
        <v>99</v>
      </c>
      <c r="C27" s="11" t="s">
        <v>96</v>
      </c>
      <c r="D27" s="11" t="s">
        <v>46</v>
      </c>
      <c r="E27" s="12" t="s">
        <v>100</v>
      </c>
      <c r="F27" s="12" t="s">
        <v>101</v>
      </c>
      <c r="G27" s="11" t="s">
        <v>102</v>
      </c>
      <c r="H27" s="11" t="s">
        <v>55</v>
      </c>
      <c r="I27" s="11"/>
      <c r="J27" s="12"/>
      <c r="K27" s="12"/>
      <c r="L27" s="11"/>
      <c r="M27" s="11"/>
    </row>
    <row r="28" customFormat="false" ht="28.5" hidden="false" customHeight="true" outlineLevel="0" collapsed="false">
      <c r="B28" s="11" t="s">
        <v>103</v>
      </c>
      <c r="C28" s="11" t="s">
        <v>96</v>
      </c>
      <c r="D28" s="11" t="s">
        <v>46</v>
      </c>
      <c r="E28" s="12" t="s">
        <v>104</v>
      </c>
      <c r="F28" s="12" t="s">
        <v>105</v>
      </c>
      <c r="G28" s="11" t="s">
        <v>106</v>
      </c>
      <c r="H28" s="11" t="s">
        <v>75</v>
      </c>
      <c r="I28" s="11"/>
      <c r="J28" s="12"/>
      <c r="K28" s="12"/>
      <c r="L28" s="11"/>
      <c r="M28" s="11"/>
    </row>
    <row r="29" customFormat="false" ht="28.5" hidden="false" customHeight="true" outlineLevel="0" collapsed="false">
      <c r="B29" s="11" t="s">
        <v>107</v>
      </c>
      <c r="C29" s="11" t="s">
        <v>96</v>
      </c>
      <c r="D29" s="11" t="s">
        <v>46</v>
      </c>
      <c r="E29" s="12" t="s">
        <v>108</v>
      </c>
      <c r="F29" s="12" t="s">
        <v>109</v>
      </c>
      <c r="G29" s="11" t="s">
        <v>106</v>
      </c>
      <c r="H29" s="11" t="s">
        <v>50</v>
      </c>
      <c r="I29" s="11"/>
      <c r="J29" s="12"/>
      <c r="K29" s="12"/>
      <c r="L29" s="11"/>
      <c r="M29" s="11"/>
    </row>
    <row r="30" customFormat="false" ht="28.5" hidden="false" customHeight="true" outlineLevel="0" collapsed="false">
      <c r="B30" s="11" t="s">
        <v>110</v>
      </c>
      <c r="C30" s="11" t="s">
        <v>96</v>
      </c>
      <c r="D30" s="11" t="s">
        <v>46</v>
      </c>
      <c r="E30" s="12" t="s">
        <v>111</v>
      </c>
      <c r="F30" s="12" t="s">
        <v>112</v>
      </c>
      <c r="G30" s="11" t="s">
        <v>106</v>
      </c>
      <c r="H30" s="11" t="s">
        <v>75</v>
      </c>
      <c r="I30" s="11"/>
      <c r="J30" s="12"/>
      <c r="K30" s="12"/>
      <c r="L30" s="11"/>
      <c r="M30" s="11"/>
    </row>
    <row r="31" customFormat="false" ht="28.5" hidden="false" customHeight="true" outlineLevel="0" collapsed="false">
      <c r="B31" s="11" t="s">
        <v>113</v>
      </c>
      <c r="C31" s="11" t="s">
        <v>96</v>
      </c>
      <c r="D31" s="11" t="s">
        <v>46</v>
      </c>
      <c r="E31" s="12" t="s">
        <v>114</v>
      </c>
      <c r="F31" s="12" t="s">
        <v>115</v>
      </c>
      <c r="G31" s="11" t="s">
        <v>54</v>
      </c>
      <c r="H31" s="11" t="s">
        <v>55</v>
      </c>
      <c r="I31" s="11"/>
      <c r="J31" s="12"/>
      <c r="K31" s="12"/>
      <c r="L31" s="11"/>
      <c r="M31" s="11"/>
    </row>
    <row r="32" customFormat="false" ht="28.5" hidden="false" customHeight="true" outlineLevel="0" collapsed="false">
      <c r="B32" s="11" t="s">
        <v>116</v>
      </c>
      <c r="C32" s="11" t="s">
        <v>96</v>
      </c>
      <c r="D32" s="13" t="s">
        <v>71</v>
      </c>
      <c r="E32" s="12" t="s">
        <v>117</v>
      </c>
      <c r="F32" s="12" t="s">
        <v>73</v>
      </c>
      <c r="G32" s="11" t="s">
        <v>74</v>
      </c>
      <c r="H32" s="11" t="s">
        <v>75</v>
      </c>
      <c r="I32" s="11"/>
      <c r="J32" s="12"/>
      <c r="K32" s="12"/>
      <c r="L32" s="11"/>
      <c r="M32" s="11"/>
    </row>
    <row r="33" customFormat="false" ht="28.5" hidden="false" customHeight="true" outlineLevel="0" collapsed="false">
      <c r="B33" s="11" t="s">
        <v>118</v>
      </c>
      <c r="C33" s="11" t="s">
        <v>96</v>
      </c>
      <c r="D33" s="13" t="s">
        <v>71</v>
      </c>
      <c r="E33" s="12" t="s">
        <v>119</v>
      </c>
      <c r="F33" s="12" t="s">
        <v>73</v>
      </c>
      <c r="G33" s="11" t="s">
        <v>74</v>
      </c>
      <c r="H33" s="11" t="s">
        <v>75</v>
      </c>
      <c r="I33" s="11"/>
      <c r="J33" s="12"/>
      <c r="K33" s="12"/>
      <c r="L33" s="11"/>
      <c r="M33" s="11"/>
    </row>
    <row r="34" customFormat="false" ht="28.5" hidden="false" customHeight="true" outlineLevel="0" collapsed="false">
      <c r="B34" s="11" t="s">
        <v>120</v>
      </c>
      <c r="C34" s="11" t="s">
        <v>96</v>
      </c>
      <c r="D34" s="13" t="s">
        <v>71</v>
      </c>
      <c r="E34" s="12" t="s">
        <v>121</v>
      </c>
      <c r="F34" s="12" t="s">
        <v>73</v>
      </c>
      <c r="G34" s="11" t="s">
        <v>74</v>
      </c>
      <c r="H34" s="11" t="s">
        <v>75</v>
      </c>
      <c r="I34" s="11"/>
      <c r="J34" s="12"/>
      <c r="K34" s="12"/>
      <c r="L34" s="11"/>
      <c r="M34" s="11"/>
    </row>
    <row r="35" customFormat="false" ht="19.5" hidden="false" customHeight="true" outlineLevel="0" collapsed="false">
      <c r="B35" s="11" t="s">
        <v>122</v>
      </c>
      <c r="C35" s="11" t="s">
        <v>96</v>
      </c>
      <c r="D35" s="13" t="s">
        <v>71</v>
      </c>
      <c r="E35" s="12" t="s">
        <v>123</v>
      </c>
      <c r="F35" s="12" t="s">
        <v>73</v>
      </c>
      <c r="G35" s="11" t="s">
        <v>74</v>
      </c>
      <c r="H35" s="11" t="s">
        <v>75</v>
      </c>
      <c r="I35" s="11"/>
      <c r="J35" s="12"/>
      <c r="K35" s="12"/>
      <c r="L35" s="11"/>
      <c r="M35" s="11"/>
    </row>
    <row r="36" customFormat="false" ht="28.5" hidden="false" customHeight="true" outlineLevel="0" collapsed="false">
      <c r="B36" s="11" t="s">
        <v>124</v>
      </c>
      <c r="C36" s="11" t="s">
        <v>96</v>
      </c>
      <c r="D36" s="13" t="s">
        <v>71</v>
      </c>
      <c r="E36" s="12" t="s">
        <v>125</v>
      </c>
      <c r="F36" s="12" t="s">
        <v>73</v>
      </c>
      <c r="G36" s="11" t="s">
        <v>74</v>
      </c>
      <c r="H36" s="11" t="s">
        <v>75</v>
      </c>
      <c r="I36" s="11"/>
      <c r="J36" s="12"/>
      <c r="K36" s="12"/>
      <c r="L36" s="11"/>
      <c r="M36" s="11"/>
    </row>
    <row r="37" customFormat="false" ht="37.5" hidden="false" customHeight="true" outlineLevel="0" collapsed="false">
      <c r="B37" s="11" t="s">
        <v>126</v>
      </c>
      <c r="C37" s="11" t="s">
        <v>96</v>
      </c>
      <c r="D37" s="11" t="s">
        <v>85</v>
      </c>
      <c r="E37" s="12" t="s">
        <v>127</v>
      </c>
      <c r="F37" s="12" t="s">
        <v>128</v>
      </c>
      <c r="G37" s="11" t="s">
        <v>74</v>
      </c>
      <c r="H37" s="11" t="s">
        <v>85</v>
      </c>
      <c r="I37" s="11"/>
      <c r="J37" s="12"/>
      <c r="K37" s="12"/>
      <c r="L37" s="11"/>
      <c r="M37" s="11"/>
    </row>
    <row r="38" customFormat="false" ht="37.5" hidden="false" customHeight="true" outlineLevel="0" collapsed="false">
      <c r="B38" s="11" t="s">
        <v>129</v>
      </c>
      <c r="C38" s="11" t="s">
        <v>96</v>
      </c>
      <c r="D38" s="11" t="s">
        <v>85</v>
      </c>
      <c r="E38" s="12" t="s">
        <v>130</v>
      </c>
      <c r="F38" s="12" t="s">
        <v>131</v>
      </c>
      <c r="G38" s="11" t="s">
        <v>74</v>
      </c>
      <c r="H38" s="11" t="s">
        <v>85</v>
      </c>
      <c r="I38" s="11"/>
      <c r="J38" s="12"/>
      <c r="K38" s="12"/>
      <c r="L38" s="11"/>
      <c r="M38" s="11"/>
    </row>
    <row r="39" customFormat="false" ht="37.5" hidden="false" customHeight="true" outlineLevel="0" collapsed="false">
      <c r="B39" s="11" t="s">
        <v>132</v>
      </c>
      <c r="C39" s="11" t="s">
        <v>96</v>
      </c>
      <c r="D39" s="11" t="s">
        <v>85</v>
      </c>
      <c r="E39" s="12" t="s">
        <v>133</v>
      </c>
      <c r="F39" s="12" t="s">
        <v>93</v>
      </c>
      <c r="G39" s="11" t="s">
        <v>74</v>
      </c>
      <c r="H39" s="11" t="s">
        <v>85</v>
      </c>
      <c r="I39" s="11"/>
      <c r="J39" s="12"/>
      <c r="K39" s="12"/>
      <c r="L39" s="11"/>
      <c r="M39" s="11"/>
    </row>
    <row r="40" customFormat="false" ht="15" hidden="false" customHeight="true" outlineLevel="0" collapsed="false">
      <c r="B40" s="10" t="s">
        <v>134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28.5" hidden="false" customHeight="true" outlineLevel="0" collapsed="false">
      <c r="B41" s="11" t="s">
        <v>135</v>
      </c>
      <c r="C41" s="11" t="s">
        <v>136</v>
      </c>
      <c r="D41" s="11" t="s">
        <v>46</v>
      </c>
      <c r="E41" s="12" t="s">
        <v>137</v>
      </c>
      <c r="F41" s="12" t="s">
        <v>138</v>
      </c>
      <c r="G41" s="11" t="s">
        <v>54</v>
      </c>
      <c r="H41" s="11" t="s">
        <v>55</v>
      </c>
      <c r="I41" s="11"/>
      <c r="J41" s="12"/>
      <c r="K41" s="12"/>
      <c r="L41" s="11"/>
      <c r="M41" s="11"/>
    </row>
    <row r="42" customFormat="false" ht="28.5" hidden="false" customHeight="true" outlineLevel="0" collapsed="false">
      <c r="B42" s="11" t="s">
        <v>139</v>
      </c>
      <c r="C42" s="11" t="s">
        <v>136</v>
      </c>
      <c r="D42" s="11" t="s">
        <v>46</v>
      </c>
      <c r="E42" s="12" t="s">
        <v>140</v>
      </c>
      <c r="F42" s="12" t="s">
        <v>141</v>
      </c>
      <c r="G42" s="11" t="s">
        <v>63</v>
      </c>
      <c r="H42" s="11" t="s">
        <v>55</v>
      </c>
      <c r="I42" s="11"/>
      <c r="J42" s="12"/>
      <c r="K42" s="12"/>
      <c r="L42" s="11"/>
      <c r="M42" s="11"/>
    </row>
    <row r="43" customFormat="false" ht="28.5" hidden="false" customHeight="true" outlineLevel="0" collapsed="false">
      <c r="B43" s="11" t="s">
        <v>142</v>
      </c>
      <c r="C43" s="11" t="s">
        <v>136</v>
      </c>
      <c r="D43" s="11" t="s">
        <v>46</v>
      </c>
      <c r="E43" s="12" t="s">
        <v>143</v>
      </c>
      <c r="F43" s="12" t="s">
        <v>144</v>
      </c>
      <c r="G43" s="11" t="s">
        <v>59</v>
      </c>
      <c r="H43" s="11" t="s">
        <v>55</v>
      </c>
      <c r="I43" s="11"/>
      <c r="J43" s="12"/>
      <c r="K43" s="12"/>
      <c r="L43" s="11"/>
      <c r="M43" s="11"/>
    </row>
    <row r="44" customFormat="false" ht="28.5" hidden="false" customHeight="true" outlineLevel="0" collapsed="false">
      <c r="B44" s="11" t="s">
        <v>145</v>
      </c>
      <c r="C44" s="11" t="s">
        <v>136</v>
      </c>
      <c r="D44" s="11" t="s">
        <v>46</v>
      </c>
      <c r="E44" s="12" t="s">
        <v>146</v>
      </c>
      <c r="F44" s="12" t="s">
        <v>147</v>
      </c>
      <c r="G44" s="11" t="s">
        <v>59</v>
      </c>
      <c r="H44" s="11" t="s">
        <v>50</v>
      </c>
      <c r="I44" s="11"/>
      <c r="J44" s="12"/>
      <c r="K44" s="12"/>
      <c r="L44" s="11"/>
      <c r="M44" s="11"/>
    </row>
    <row r="45" customFormat="false" ht="28.5" hidden="false" customHeight="true" outlineLevel="0" collapsed="false">
      <c r="B45" s="11" t="s">
        <v>148</v>
      </c>
      <c r="C45" s="11" t="s">
        <v>136</v>
      </c>
      <c r="D45" s="11" t="s">
        <v>46</v>
      </c>
      <c r="E45" s="12" t="s">
        <v>149</v>
      </c>
      <c r="F45" s="12" t="s">
        <v>150</v>
      </c>
      <c r="G45" s="11" t="s">
        <v>151</v>
      </c>
      <c r="H45" s="11" t="s">
        <v>75</v>
      </c>
      <c r="I45" s="11"/>
      <c r="J45" s="12"/>
      <c r="K45" s="12"/>
      <c r="L45" s="11"/>
      <c r="M45" s="11"/>
    </row>
    <row r="46" customFormat="false" ht="28.5" hidden="false" customHeight="true" outlineLevel="0" collapsed="false">
      <c r="B46" s="11" t="s">
        <v>152</v>
      </c>
      <c r="C46" s="11" t="s">
        <v>136</v>
      </c>
      <c r="D46" s="11" t="s">
        <v>46</v>
      </c>
      <c r="E46" s="12" t="s">
        <v>153</v>
      </c>
      <c r="F46" s="12" t="s">
        <v>154</v>
      </c>
      <c r="G46" s="11" t="s">
        <v>63</v>
      </c>
      <c r="H46" s="11" t="s">
        <v>55</v>
      </c>
      <c r="I46" s="11"/>
      <c r="J46" s="12"/>
      <c r="K46" s="12"/>
      <c r="L46" s="11"/>
      <c r="M46" s="11"/>
    </row>
    <row r="47" customFormat="false" ht="28.5" hidden="false" customHeight="true" outlineLevel="0" collapsed="false">
      <c r="B47" s="11" t="s">
        <v>155</v>
      </c>
      <c r="C47" s="11" t="s">
        <v>136</v>
      </c>
      <c r="D47" s="13" t="s">
        <v>71</v>
      </c>
      <c r="E47" s="12" t="s">
        <v>156</v>
      </c>
      <c r="F47" s="12" t="s">
        <v>73</v>
      </c>
      <c r="G47" s="11" t="s">
        <v>74</v>
      </c>
      <c r="H47" s="11" t="s">
        <v>75</v>
      </c>
      <c r="I47" s="11"/>
      <c r="J47" s="12"/>
      <c r="K47" s="12"/>
      <c r="L47" s="11"/>
      <c r="M47" s="11"/>
    </row>
    <row r="48" customFormat="false" ht="28.5" hidden="false" customHeight="true" outlineLevel="0" collapsed="false">
      <c r="B48" s="11" t="s">
        <v>157</v>
      </c>
      <c r="C48" s="11" t="s">
        <v>136</v>
      </c>
      <c r="D48" s="13" t="s">
        <v>71</v>
      </c>
      <c r="E48" s="12" t="s">
        <v>158</v>
      </c>
      <c r="F48" s="12" t="s">
        <v>73</v>
      </c>
      <c r="G48" s="11" t="s">
        <v>74</v>
      </c>
      <c r="H48" s="11" t="s">
        <v>50</v>
      </c>
      <c r="I48" s="11"/>
      <c r="J48" s="12"/>
      <c r="K48" s="12"/>
      <c r="L48" s="11"/>
      <c r="M48" s="11"/>
    </row>
    <row r="49" customFormat="false" ht="19.5" hidden="false" customHeight="true" outlineLevel="0" collapsed="false">
      <c r="B49" s="11" t="s">
        <v>159</v>
      </c>
      <c r="C49" s="11" t="s">
        <v>136</v>
      </c>
      <c r="D49" s="13" t="s">
        <v>71</v>
      </c>
      <c r="E49" s="12" t="s">
        <v>160</v>
      </c>
      <c r="F49" s="12" t="s">
        <v>73</v>
      </c>
      <c r="G49" s="11" t="s">
        <v>74</v>
      </c>
      <c r="H49" s="11" t="s">
        <v>75</v>
      </c>
      <c r="I49" s="11"/>
      <c r="J49" s="12"/>
      <c r="K49" s="12"/>
      <c r="L49" s="11"/>
      <c r="M49" s="11"/>
    </row>
    <row r="50" customFormat="false" ht="28.5" hidden="false" customHeight="true" outlineLevel="0" collapsed="false">
      <c r="B50" s="11" t="s">
        <v>161</v>
      </c>
      <c r="C50" s="11" t="s">
        <v>136</v>
      </c>
      <c r="D50" s="13" t="s">
        <v>71</v>
      </c>
      <c r="E50" s="12" t="s">
        <v>162</v>
      </c>
      <c r="F50" s="12" t="s">
        <v>73</v>
      </c>
      <c r="G50" s="11" t="s">
        <v>74</v>
      </c>
      <c r="H50" s="11" t="s">
        <v>75</v>
      </c>
      <c r="I50" s="11"/>
      <c r="J50" s="12"/>
      <c r="K50" s="12"/>
      <c r="L50" s="11"/>
      <c r="M50" s="11"/>
    </row>
    <row r="51" customFormat="false" ht="28.5" hidden="false" customHeight="true" outlineLevel="0" collapsed="false">
      <c r="B51" s="11" t="s">
        <v>163</v>
      </c>
      <c r="C51" s="11" t="s">
        <v>136</v>
      </c>
      <c r="D51" s="13" t="s">
        <v>71</v>
      </c>
      <c r="E51" s="12" t="s">
        <v>164</v>
      </c>
      <c r="F51" s="12" t="s">
        <v>73</v>
      </c>
      <c r="G51" s="11" t="s">
        <v>74</v>
      </c>
      <c r="H51" s="11" t="s">
        <v>50</v>
      </c>
      <c r="I51" s="11"/>
      <c r="J51" s="12"/>
      <c r="K51" s="12"/>
      <c r="L51" s="11"/>
      <c r="M51" s="11"/>
    </row>
    <row r="52" customFormat="false" ht="37.5" hidden="false" customHeight="true" outlineLevel="0" collapsed="false">
      <c r="B52" s="11" t="s">
        <v>165</v>
      </c>
      <c r="C52" s="11" t="s">
        <v>136</v>
      </c>
      <c r="D52" s="11" t="s">
        <v>85</v>
      </c>
      <c r="E52" s="12" t="s">
        <v>166</v>
      </c>
      <c r="F52" s="12" t="s">
        <v>167</v>
      </c>
      <c r="G52" s="11" t="s">
        <v>74</v>
      </c>
      <c r="H52" s="11" t="s">
        <v>85</v>
      </c>
      <c r="I52" s="11"/>
      <c r="J52" s="12"/>
      <c r="K52" s="12"/>
      <c r="L52" s="11"/>
      <c r="M52" s="11"/>
    </row>
    <row r="53" customFormat="false" ht="47.25" hidden="false" customHeight="true" outlineLevel="0" collapsed="false">
      <c r="B53" s="11" t="s">
        <v>168</v>
      </c>
      <c r="C53" s="11" t="s">
        <v>136</v>
      </c>
      <c r="D53" s="11" t="s">
        <v>85</v>
      </c>
      <c r="E53" s="12" t="s">
        <v>169</v>
      </c>
      <c r="F53" s="12" t="s">
        <v>170</v>
      </c>
      <c r="G53" s="11" t="s">
        <v>74</v>
      </c>
      <c r="H53" s="11" t="s">
        <v>85</v>
      </c>
      <c r="I53" s="11"/>
      <c r="J53" s="12"/>
      <c r="K53" s="12"/>
      <c r="L53" s="11"/>
      <c r="M53" s="11"/>
    </row>
    <row r="54" customFormat="false" ht="37.5" hidden="false" customHeight="true" outlineLevel="0" collapsed="false">
      <c r="B54" s="11" t="s">
        <v>171</v>
      </c>
      <c r="C54" s="11" t="s">
        <v>136</v>
      </c>
      <c r="D54" s="11" t="s">
        <v>85</v>
      </c>
      <c r="E54" s="12" t="s">
        <v>172</v>
      </c>
      <c r="F54" s="12" t="s">
        <v>93</v>
      </c>
      <c r="G54" s="11" t="s">
        <v>74</v>
      </c>
      <c r="H54" s="11" t="s">
        <v>85</v>
      </c>
      <c r="I54" s="11"/>
      <c r="J54" s="12"/>
      <c r="K54" s="12"/>
      <c r="L54" s="11"/>
      <c r="M54" s="11"/>
    </row>
    <row r="55" customFormat="false" ht="15" hidden="false" customHeight="true" outlineLevel="0" collapsed="false">
      <c r="B55" s="10" t="s">
        <v>173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customFormat="false" ht="28.5" hidden="false" customHeight="true" outlineLevel="0" collapsed="false">
      <c r="B56" s="11" t="s">
        <v>174</v>
      </c>
      <c r="C56" s="11" t="s">
        <v>175</v>
      </c>
      <c r="D56" s="11" t="s">
        <v>46</v>
      </c>
      <c r="E56" s="12" t="s">
        <v>176</v>
      </c>
      <c r="F56" s="12" t="s">
        <v>177</v>
      </c>
      <c r="G56" s="11" t="s">
        <v>63</v>
      </c>
      <c r="H56" s="11" t="s">
        <v>55</v>
      </c>
      <c r="I56" s="11"/>
      <c r="J56" s="12"/>
      <c r="K56" s="12"/>
      <c r="L56" s="11"/>
      <c r="M56" s="11"/>
    </row>
    <row r="57" customFormat="false" ht="28.5" hidden="false" customHeight="true" outlineLevel="0" collapsed="false">
      <c r="B57" s="11" t="s">
        <v>178</v>
      </c>
      <c r="C57" s="11" t="s">
        <v>175</v>
      </c>
      <c r="D57" s="11" t="s">
        <v>46</v>
      </c>
      <c r="E57" s="12" t="s">
        <v>179</v>
      </c>
      <c r="F57" s="12" t="s">
        <v>180</v>
      </c>
      <c r="G57" s="11" t="s">
        <v>49</v>
      </c>
      <c r="H57" s="11" t="s">
        <v>55</v>
      </c>
      <c r="I57" s="11"/>
      <c r="J57" s="12"/>
      <c r="K57" s="12"/>
      <c r="L57" s="11"/>
      <c r="M57" s="11"/>
    </row>
    <row r="58" customFormat="false" ht="28.5" hidden="false" customHeight="true" outlineLevel="0" collapsed="false">
      <c r="B58" s="11" t="s">
        <v>181</v>
      </c>
      <c r="C58" s="11" t="s">
        <v>175</v>
      </c>
      <c r="D58" s="11" t="s">
        <v>46</v>
      </c>
      <c r="E58" s="12" t="s">
        <v>182</v>
      </c>
      <c r="F58" s="12" t="s">
        <v>183</v>
      </c>
      <c r="G58" s="11" t="s">
        <v>63</v>
      </c>
      <c r="H58" s="11" t="s">
        <v>55</v>
      </c>
      <c r="I58" s="11"/>
      <c r="J58" s="12"/>
      <c r="K58" s="12"/>
      <c r="L58" s="11"/>
      <c r="M58" s="11"/>
    </row>
    <row r="59" customFormat="false" ht="28.5" hidden="false" customHeight="true" outlineLevel="0" collapsed="false">
      <c r="B59" s="11" t="s">
        <v>184</v>
      </c>
      <c r="C59" s="11" t="s">
        <v>175</v>
      </c>
      <c r="D59" s="11" t="s">
        <v>46</v>
      </c>
      <c r="E59" s="12" t="s">
        <v>185</v>
      </c>
      <c r="F59" s="12" t="s">
        <v>186</v>
      </c>
      <c r="G59" s="11" t="s">
        <v>59</v>
      </c>
      <c r="H59" s="11" t="s">
        <v>75</v>
      </c>
      <c r="I59" s="11"/>
      <c r="J59" s="12"/>
      <c r="K59" s="12"/>
      <c r="L59" s="11"/>
      <c r="M59" s="11"/>
    </row>
    <row r="60" customFormat="false" ht="28.5" hidden="false" customHeight="true" outlineLevel="0" collapsed="false">
      <c r="B60" s="11" t="s">
        <v>187</v>
      </c>
      <c r="C60" s="11" t="s">
        <v>175</v>
      </c>
      <c r="D60" s="11" t="s">
        <v>46</v>
      </c>
      <c r="E60" s="12" t="s">
        <v>188</v>
      </c>
      <c r="F60" s="12" t="s">
        <v>189</v>
      </c>
      <c r="G60" s="11" t="s">
        <v>49</v>
      </c>
      <c r="H60" s="11" t="s">
        <v>50</v>
      </c>
      <c r="I60" s="11"/>
      <c r="J60" s="12"/>
      <c r="K60" s="12"/>
      <c r="L60" s="11"/>
      <c r="M60" s="11"/>
    </row>
    <row r="61" customFormat="false" ht="19.5" hidden="false" customHeight="true" outlineLevel="0" collapsed="false">
      <c r="B61" s="11" t="s">
        <v>190</v>
      </c>
      <c r="C61" s="11" t="s">
        <v>175</v>
      </c>
      <c r="D61" s="11" t="s">
        <v>46</v>
      </c>
      <c r="E61" s="12" t="s">
        <v>191</v>
      </c>
      <c r="F61" s="12" t="s">
        <v>192</v>
      </c>
      <c r="G61" s="11" t="s">
        <v>54</v>
      </c>
      <c r="H61" s="11" t="s">
        <v>55</v>
      </c>
      <c r="I61" s="11"/>
      <c r="J61" s="12"/>
      <c r="K61" s="12"/>
      <c r="L61" s="11"/>
      <c r="M61" s="11"/>
    </row>
    <row r="62" customFormat="false" ht="28.5" hidden="false" customHeight="true" outlineLevel="0" collapsed="false">
      <c r="B62" s="11" t="s">
        <v>193</v>
      </c>
      <c r="C62" s="11" t="s">
        <v>175</v>
      </c>
      <c r="D62" s="13" t="s">
        <v>71</v>
      </c>
      <c r="E62" s="12" t="s">
        <v>194</v>
      </c>
      <c r="F62" s="12" t="s">
        <v>73</v>
      </c>
      <c r="G62" s="11" t="s">
        <v>74</v>
      </c>
      <c r="H62" s="11" t="s">
        <v>75</v>
      </c>
      <c r="I62" s="11"/>
      <c r="J62" s="12"/>
      <c r="K62" s="12"/>
      <c r="L62" s="11"/>
      <c r="M62" s="11"/>
    </row>
    <row r="63" customFormat="false" ht="28.5" hidden="false" customHeight="true" outlineLevel="0" collapsed="false">
      <c r="B63" s="11" t="s">
        <v>195</v>
      </c>
      <c r="C63" s="11" t="s">
        <v>175</v>
      </c>
      <c r="D63" s="13" t="s">
        <v>71</v>
      </c>
      <c r="E63" s="12" t="s">
        <v>196</v>
      </c>
      <c r="F63" s="12" t="s">
        <v>73</v>
      </c>
      <c r="G63" s="11" t="s">
        <v>74</v>
      </c>
      <c r="H63" s="11" t="s">
        <v>75</v>
      </c>
      <c r="I63" s="11"/>
      <c r="J63" s="12"/>
      <c r="K63" s="12"/>
      <c r="L63" s="11"/>
      <c r="M63" s="11"/>
    </row>
    <row r="64" customFormat="false" ht="19.5" hidden="false" customHeight="true" outlineLevel="0" collapsed="false">
      <c r="B64" s="11" t="s">
        <v>197</v>
      </c>
      <c r="C64" s="11" t="s">
        <v>175</v>
      </c>
      <c r="D64" s="13" t="s">
        <v>71</v>
      </c>
      <c r="E64" s="12" t="s">
        <v>198</v>
      </c>
      <c r="F64" s="12" t="s">
        <v>73</v>
      </c>
      <c r="G64" s="11" t="s">
        <v>74</v>
      </c>
      <c r="H64" s="11" t="s">
        <v>75</v>
      </c>
      <c r="I64" s="11"/>
      <c r="J64" s="12"/>
      <c r="K64" s="12"/>
      <c r="L64" s="11"/>
      <c r="M64" s="11"/>
    </row>
    <row r="65" customFormat="false" ht="19.5" hidden="false" customHeight="true" outlineLevel="0" collapsed="false">
      <c r="B65" s="11" t="s">
        <v>199</v>
      </c>
      <c r="C65" s="11" t="s">
        <v>175</v>
      </c>
      <c r="D65" s="13" t="s">
        <v>71</v>
      </c>
      <c r="E65" s="12" t="s">
        <v>200</v>
      </c>
      <c r="F65" s="12" t="s">
        <v>73</v>
      </c>
      <c r="G65" s="11" t="s">
        <v>74</v>
      </c>
      <c r="H65" s="11" t="s">
        <v>75</v>
      </c>
      <c r="I65" s="11"/>
      <c r="J65" s="12"/>
      <c r="K65" s="12"/>
      <c r="L65" s="11"/>
      <c r="M65" s="11"/>
    </row>
    <row r="66" customFormat="false" ht="19.5" hidden="false" customHeight="true" outlineLevel="0" collapsed="false">
      <c r="B66" s="11" t="s">
        <v>201</v>
      </c>
      <c r="C66" s="11" t="s">
        <v>175</v>
      </c>
      <c r="D66" s="13" t="s">
        <v>71</v>
      </c>
      <c r="E66" s="12" t="s">
        <v>202</v>
      </c>
      <c r="F66" s="12" t="s">
        <v>73</v>
      </c>
      <c r="G66" s="11" t="s">
        <v>74</v>
      </c>
      <c r="H66" s="11" t="s">
        <v>50</v>
      </c>
      <c r="I66" s="11"/>
      <c r="J66" s="12"/>
      <c r="K66" s="12"/>
      <c r="L66" s="11"/>
      <c r="M66" s="11"/>
    </row>
    <row r="67" customFormat="false" ht="37.5" hidden="false" customHeight="true" outlineLevel="0" collapsed="false">
      <c r="B67" s="11" t="s">
        <v>203</v>
      </c>
      <c r="C67" s="11" t="s">
        <v>175</v>
      </c>
      <c r="D67" s="11" t="s">
        <v>85</v>
      </c>
      <c r="E67" s="12" t="s">
        <v>204</v>
      </c>
      <c r="F67" s="12" t="s">
        <v>205</v>
      </c>
      <c r="G67" s="11" t="s">
        <v>74</v>
      </c>
      <c r="H67" s="11" t="s">
        <v>85</v>
      </c>
      <c r="I67" s="11"/>
      <c r="J67" s="12"/>
      <c r="K67" s="12"/>
      <c r="L67" s="11"/>
      <c r="M67" s="11"/>
    </row>
    <row r="68" customFormat="false" ht="37.5" hidden="false" customHeight="true" outlineLevel="0" collapsed="false">
      <c r="B68" s="11" t="s">
        <v>206</v>
      </c>
      <c r="C68" s="11" t="s">
        <v>175</v>
      </c>
      <c r="D68" s="11" t="s">
        <v>85</v>
      </c>
      <c r="E68" s="12" t="s">
        <v>207</v>
      </c>
      <c r="F68" s="12" t="s">
        <v>170</v>
      </c>
      <c r="G68" s="11" t="s">
        <v>74</v>
      </c>
      <c r="H68" s="11" t="s">
        <v>85</v>
      </c>
      <c r="I68" s="11"/>
      <c r="J68" s="12"/>
      <c r="K68" s="12"/>
      <c r="L68" s="11"/>
      <c r="M68" s="11"/>
    </row>
    <row r="69" customFormat="false" ht="37.5" hidden="false" customHeight="true" outlineLevel="0" collapsed="false">
      <c r="B69" s="11" t="s">
        <v>208</v>
      </c>
      <c r="C69" s="11" t="s">
        <v>175</v>
      </c>
      <c r="D69" s="11" t="s">
        <v>85</v>
      </c>
      <c r="E69" s="12" t="s">
        <v>209</v>
      </c>
      <c r="F69" s="12" t="s">
        <v>93</v>
      </c>
      <c r="G69" s="11" t="s">
        <v>74</v>
      </c>
      <c r="H69" s="11" t="s">
        <v>85</v>
      </c>
      <c r="I69" s="11"/>
      <c r="J69" s="12"/>
      <c r="K69" s="12"/>
      <c r="L69" s="11"/>
      <c r="M69" s="11"/>
    </row>
    <row r="70" customFormat="false" ht="15" hidden="false" customHeight="true" outlineLevel="0" collapsed="false">
      <c r="B70" s="10" t="s">
        <v>210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customFormat="false" ht="28.5" hidden="false" customHeight="true" outlineLevel="0" collapsed="false">
      <c r="B71" s="11" t="s">
        <v>211</v>
      </c>
      <c r="C71" s="11" t="s">
        <v>212</v>
      </c>
      <c r="D71" s="11" t="s">
        <v>46</v>
      </c>
      <c r="E71" s="12" t="s">
        <v>213</v>
      </c>
      <c r="F71" s="12" t="s">
        <v>214</v>
      </c>
      <c r="G71" s="11" t="s">
        <v>54</v>
      </c>
      <c r="H71" s="11" t="s">
        <v>55</v>
      </c>
      <c r="I71" s="11"/>
      <c r="J71" s="12"/>
      <c r="K71" s="12"/>
      <c r="L71" s="11"/>
      <c r="M71" s="11"/>
    </row>
    <row r="72" customFormat="false" ht="19.5" hidden="false" customHeight="true" outlineLevel="0" collapsed="false">
      <c r="B72" s="11" t="s">
        <v>215</v>
      </c>
      <c r="C72" s="11" t="s">
        <v>212</v>
      </c>
      <c r="D72" s="11" t="s">
        <v>46</v>
      </c>
      <c r="E72" s="12" t="s">
        <v>216</v>
      </c>
      <c r="F72" s="12" t="s">
        <v>217</v>
      </c>
      <c r="G72" s="11" t="s">
        <v>49</v>
      </c>
      <c r="H72" s="11" t="s">
        <v>55</v>
      </c>
      <c r="I72" s="11"/>
      <c r="J72" s="12"/>
      <c r="K72" s="12"/>
      <c r="L72" s="11"/>
      <c r="M72" s="11"/>
    </row>
    <row r="73" customFormat="false" ht="28.5" hidden="false" customHeight="true" outlineLevel="0" collapsed="false">
      <c r="B73" s="11" t="s">
        <v>218</v>
      </c>
      <c r="C73" s="11" t="s">
        <v>212</v>
      </c>
      <c r="D73" s="11" t="s">
        <v>46</v>
      </c>
      <c r="E73" s="12" t="s">
        <v>219</v>
      </c>
      <c r="F73" s="12" t="s">
        <v>220</v>
      </c>
      <c r="G73" s="11" t="s">
        <v>59</v>
      </c>
      <c r="H73" s="11" t="s">
        <v>50</v>
      </c>
      <c r="I73" s="11"/>
      <c r="J73" s="12"/>
      <c r="K73" s="12"/>
      <c r="L73" s="11"/>
      <c r="M73" s="11"/>
    </row>
    <row r="74" customFormat="false" ht="28.5" hidden="false" customHeight="true" outlineLevel="0" collapsed="false">
      <c r="B74" s="11" t="s">
        <v>221</v>
      </c>
      <c r="C74" s="11" t="s">
        <v>212</v>
      </c>
      <c r="D74" s="11" t="s">
        <v>46</v>
      </c>
      <c r="E74" s="12" t="s">
        <v>222</v>
      </c>
      <c r="F74" s="12" t="s">
        <v>223</v>
      </c>
      <c r="G74" s="11" t="s">
        <v>63</v>
      </c>
      <c r="H74" s="11" t="s">
        <v>55</v>
      </c>
      <c r="I74" s="11"/>
      <c r="J74" s="12"/>
      <c r="K74" s="12"/>
      <c r="L74" s="11"/>
      <c r="M74" s="11"/>
    </row>
    <row r="75" customFormat="false" ht="28.5" hidden="false" customHeight="true" outlineLevel="0" collapsed="false">
      <c r="B75" s="11" t="s">
        <v>224</v>
      </c>
      <c r="C75" s="11" t="s">
        <v>212</v>
      </c>
      <c r="D75" s="11" t="s">
        <v>46</v>
      </c>
      <c r="E75" s="12" t="s">
        <v>225</v>
      </c>
      <c r="F75" s="12" t="s">
        <v>226</v>
      </c>
      <c r="G75" s="11" t="s">
        <v>49</v>
      </c>
      <c r="H75" s="11" t="s">
        <v>55</v>
      </c>
      <c r="I75" s="11"/>
      <c r="J75" s="12"/>
      <c r="K75" s="12"/>
      <c r="L75" s="11"/>
      <c r="M75" s="11"/>
    </row>
    <row r="76" customFormat="false" ht="19.5" hidden="false" customHeight="true" outlineLevel="0" collapsed="false">
      <c r="B76" s="11" t="s">
        <v>227</v>
      </c>
      <c r="C76" s="11" t="s">
        <v>212</v>
      </c>
      <c r="D76" s="11" t="s">
        <v>46</v>
      </c>
      <c r="E76" s="12" t="s">
        <v>228</v>
      </c>
      <c r="F76" s="12" t="s">
        <v>229</v>
      </c>
      <c r="G76" s="11" t="s">
        <v>59</v>
      </c>
      <c r="H76" s="11" t="s">
        <v>75</v>
      </c>
      <c r="I76" s="11"/>
      <c r="J76" s="12"/>
      <c r="K76" s="12"/>
      <c r="L76" s="11"/>
      <c r="M76" s="11"/>
    </row>
    <row r="77" customFormat="false" ht="28.5" hidden="false" customHeight="true" outlineLevel="0" collapsed="false">
      <c r="B77" s="11" t="s">
        <v>230</v>
      </c>
      <c r="C77" s="11" t="s">
        <v>212</v>
      </c>
      <c r="D77" s="13" t="s">
        <v>71</v>
      </c>
      <c r="E77" s="12" t="s">
        <v>231</v>
      </c>
      <c r="F77" s="12" t="s">
        <v>73</v>
      </c>
      <c r="G77" s="11" t="s">
        <v>74</v>
      </c>
      <c r="H77" s="11" t="s">
        <v>50</v>
      </c>
      <c r="I77" s="11"/>
      <c r="J77" s="12"/>
      <c r="K77" s="12"/>
      <c r="L77" s="11"/>
      <c r="M77" s="11"/>
    </row>
    <row r="78" customFormat="false" ht="28.5" hidden="false" customHeight="true" outlineLevel="0" collapsed="false">
      <c r="B78" s="11" t="s">
        <v>232</v>
      </c>
      <c r="C78" s="11" t="s">
        <v>212</v>
      </c>
      <c r="D78" s="13" t="s">
        <v>71</v>
      </c>
      <c r="E78" s="12" t="s">
        <v>233</v>
      </c>
      <c r="F78" s="12" t="s">
        <v>73</v>
      </c>
      <c r="G78" s="11" t="s">
        <v>74</v>
      </c>
      <c r="H78" s="11" t="s">
        <v>50</v>
      </c>
      <c r="I78" s="11"/>
      <c r="J78" s="12"/>
      <c r="K78" s="12"/>
      <c r="L78" s="11"/>
      <c r="M78" s="11"/>
    </row>
    <row r="79" customFormat="false" ht="19.5" hidden="false" customHeight="true" outlineLevel="0" collapsed="false">
      <c r="B79" s="11" t="s">
        <v>234</v>
      </c>
      <c r="C79" s="11" t="s">
        <v>212</v>
      </c>
      <c r="D79" s="13" t="s">
        <v>71</v>
      </c>
      <c r="E79" s="12" t="s">
        <v>235</v>
      </c>
      <c r="F79" s="12" t="s">
        <v>73</v>
      </c>
      <c r="G79" s="11" t="s">
        <v>74</v>
      </c>
      <c r="H79" s="11" t="s">
        <v>75</v>
      </c>
      <c r="I79" s="11"/>
      <c r="J79" s="12"/>
      <c r="K79" s="12"/>
      <c r="L79" s="11"/>
      <c r="M79" s="11"/>
    </row>
    <row r="80" customFormat="false" ht="19.5" hidden="false" customHeight="true" outlineLevel="0" collapsed="false">
      <c r="B80" s="11" t="s">
        <v>236</v>
      </c>
      <c r="C80" s="11" t="s">
        <v>212</v>
      </c>
      <c r="D80" s="13" t="s">
        <v>71</v>
      </c>
      <c r="E80" s="12" t="s">
        <v>237</v>
      </c>
      <c r="F80" s="12" t="s">
        <v>73</v>
      </c>
      <c r="G80" s="11" t="s">
        <v>74</v>
      </c>
      <c r="H80" s="11" t="s">
        <v>75</v>
      </c>
      <c r="I80" s="11"/>
      <c r="J80" s="12"/>
      <c r="K80" s="12"/>
      <c r="L80" s="11"/>
      <c r="M80" s="11"/>
    </row>
    <row r="81" customFormat="false" ht="28.5" hidden="false" customHeight="true" outlineLevel="0" collapsed="false">
      <c r="B81" s="11" t="s">
        <v>238</v>
      </c>
      <c r="C81" s="11" t="s">
        <v>212</v>
      </c>
      <c r="D81" s="13" t="s">
        <v>71</v>
      </c>
      <c r="E81" s="12" t="s">
        <v>239</v>
      </c>
      <c r="F81" s="12" t="s">
        <v>73</v>
      </c>
      <c r="G81" s="11" t="s">
        <v>74</v>
      </c>
      <c r="H81" s="11" t="s">
        <v>50</v>
      </c>
      <c r="I81" s="11"/>
      <c r="J81" s="12"/>
      <c r="K81" s="12"/>
      <c r="L81" s="11"/>
      <c r="M81" s="11"/>
    </row>
    <row r="82" customFormat="false" ht="28.5" hidden="false" customHeight="true" outlineLevel="0" collapsed="false">
      <c r="B82" s="11" t="s">
        <v>240</v>
      </c>
      <c r="C82" s="11" t="s">
        <v>212</v>
      </c>
      <c r="D82" s="11" t="s">
        <v>85</v>
      </c>
      <c r="E82" s="12" t="s">
        <v>241</v>
      </c>
      <c r="F82" s="12" t="s">
        <v>205</v>
      </c>
      <c r="G82" s="11" t="s">
        <v>74</v>
      </c>
      <c r="H82" s="11" t="s">
        <v>85</v>
      </c>
      <c r="I82" s="11"/>
      <c r="J82" s="12"/>
      <c r="K82" s="12"/>
      <c r="L82" s="11"/>
      <c r="M82" s="11"/>
    </row>
    <row r="83" customFormat="false" ht="37.5" hidden="false" customHeight="true" outlineLevel="0" collapsed="false">
      <c r="B83" s="11" t="s">
        <v>242</v>
      </c>
      <c r="C83" s="11" t="s">
        <v>212</v>
      </c>
      <c r="D83" s="11" t="s">
        <v>85</v>
      </c>
      <c r="E83" s="12" t="s">
        <v>243</v>
      </c>
      <c r="F83" s="12" t="s">
        <v>170</v>
      </c>
      <c r="G83" s="11" t="s">
        <v>74</v>
      </c>
      <c r="H83" s="11" t="s">
        <v>85</v>
      </c>
      <c r="I83" s="11"/>
      <c r="J83" s="12"/>
      <c r="K83" s="12"/>
      <c r="L83" s="11"/>
      <c r="M83" s="11"/>
    </row>
    <row r="84" customFormat="false" ht="28.5" hidden="false" customHeight="true" outlineLevel="0" collapsed="false">
      <c r="B84" s="11" t="s">
        <v>244</v>
      </c>
      <c r="C84" s="11" t="s">
        <v>212</v>
      </c>
      <c r="D84" s="11" t="s">
        <v>85</v>
      </c>
      <c r="E84" s="12" t="s">
        <v>245</v>
      </c>
      <c r="F84" s="12" t="s">
        <v>93</v>
      </c>
      <c r="G84" s="11" t="s">
        <v>74</v>
      </c>
      <c r="H84" s="11" t="s">
        <v>85</v>
      </c>
      <c r="I84" s="11"/>
      <c r="J84" s="12"/>
      <c r="K84" s="12"/>
      <c r="L84" s="11"/>
      <c r="M84" s="11"/>
    </row>
    <row r="85" customFormat="false" ht="15" hidden="false" customHeight="true" outlineLevel="0" collapsed="false">
      <c r="B85" s="10" t="s">
        <v>246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customFormat="false" ht="28.5" hidden="false" customHeight="true" outlineLevel="0" collapsed="false">
      <c r="B86" s="11" t="s">
        <v>247</v>
      </c>
      <c r="C86" s="11" t="s">
        <v>248</v>
      </c>
      <c r="D86" s="11" t="s">
        <v>249</v>
      </c>
      <c r="E86" s="12" t="s">
        <v>250</v>
      </c>
      <c r="F86" s="12" t="s">
        <v>251</v>
      </c>
      <c r="G86" s="11" t="s">
        <v>74</v>
      </c>
      <c r="H86" s="11" t="s">
        <v>75</v>
      </c>
      <c r="I86" s="11"/>
      <c r="J86" s="12"/>
      <c r="K86" s="12"/>
      <c r="L86" s="11"/>
      <c r="M86" s="11"/>
    </row>
    <row r="87" customFormat="false" ht="19.5" hidden="false" customHeight="true" outlineLevel="0" collapsed="false">
      <c r="B87" s="11" t="s">
        <v>252</v>
      </c>
      <c r="C87" s="11" t="s">
        <v>248</v>
      </c>
      <c r="D87" s="11" t="s">
        <v>249</v>
      </c>
      <c r="E87" s="12" t="s">
        <v>253</v>
      </c>
      <c r="F87" s="12" t="s">
        <v>254</v>
      </c>
      <c r="G87" s="11" t="s">
        <v>74</v>
      </c>
      <c r="H87" s="11" t="s">
        <v>75</v>
      </c>
      <c r="I87" s="11"/>
      <c r="J87" s="12"/>
      <c r="K87" s="12"/>
      <c r="L87" s="11"/>
      <c r="M87" s="11"/>
    </row>
    <row r="88" customFormat="false" ht="28.5" hidden="false" customHeight="true" outlineLevel="0" collapsed="false">
      <c r="B88" s="11" t="s">
        <v>255</v>
      </c>
      <c r="C88" s="11" t="s">
        <v>248</v>
      </c>
      <c r="D88" s="11" t="s">
        <v>249</v>
      </c>
      <c r="E88" s="12" t="s">
        <v>256</v>
      </c>
      <c r="F88" s="12" t="s">
        <v>257</v>
      </c>
      <c r="G88" s="11" t="s">
        <v>74</v>
      </c>
      <c r="H88" s="11" t="s">
        <v>50</v>
      </c>
      <c r="I88" s="11"/>
      <c r="J88" s="12"/>
      <c r="K88" s="12"/>
      <c r="L88" s="11"/>
      <c r="M88" s="11"/>
    </row>
    <row r="89" customFormat="false" ht="15" hidden="false" customHeight="true" outlineLevel="0" collapsed="false">
      <c r="B89" s="10" t="s">
        <v>258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customFormat="false" ht="28.5" hidden="false" customHeight="true" outlineLevel="0" collapsed="false">
      <c r="B90" s="11" t="s">
        <v>259</v>
      </c>
      <c r="C90" s="11" t="s">
        <v>260</v>
      </c>
      <c r="D90" s="11" t="s">
        <v>249</v>
      </c>
      <c r="E90" s="12" t="s">
        <v>261</v>
      </c>
      <c r="F90" s="12" t="s">
        <v>262</v>
      </c>
      <c r="G90" s="11" t="s">
        <v>74</v>
      </c>
      <c r="H90" s="11" t="s">
        <v>75</v>
      </c>
      <c r="I90" s="11"/>
      <c r="J90" s="12"/>
      <c r="K90" s="12"/>
      <c r="L90" s="11"/>
      <c r="M90" s="11"/>
    </row>
    <row r="91" customFormat="false" ht="28.5" hidden="false" customHeight="true" outlineLevel="0" collapsed="false">
      <c r="B91" s="11" t="s">
        <v>263</v>
      </c>
      <c r="C91" s="11" t="s">
        <v>260</v>
      </c>
      <c r="D91" s="11" t="s">
        <v>249</v>
      </c>
      <c r="E91" s="12" t="s">
        <v>264</v>
      </c>
      <c r="F91" s="12" t="s">
        <v>265</v>
      </c>
      <c r="G91" s="11" t="s">
        <v>74</v>
      </c>
      <c r="H91" s="11" t="s">
        <v>55</v>
      </c>
      <c r="I91" s="11"/>
      <c r="J91" s="12"/>
      <c r="K91" s="12"/>
      <c r="L91" s="11"/>
      <c r="M91" s="11"/>
    </row>
    <row r="92" customFormat="false" ht="28.5" hidden="false" customHeight="true" outlineLevel="0" collapsed="false">
      <c r="B92" s="11" t="s">
        <v>266</v>
      </c>
      <c r="C92" s="11" t="s">
        <v>260</v>
      </c>
      <c r="D92" s="11" t="s">
        <v>249</v>
      </c>
      <c r="E92" s="12" t="s">
        <v>267</v>
      </c>
      <c r="F92" s="12" t="s">
        <v>268</v>
      </c>
      <c r="G92" s="11" t="s">
        <v>74</v>
      </c>
      <c r="H92" s="11" t="s">
        <v>50</v>
      </c>
      <c r="I92" s="11"/>
      <c r="J92" s="12"/>
      <c r="K92" s="12"/>
      <c r="L92" s="11"/>
      <c r="M92" s="11"/>
    </row>
    <row r="93" customFormat="false" ht="28.5" hidden="false" customHeight="true" outlineLevel="0" collapsed="false">
      <c r="B93" s="11" t="s">
        <v>269</v>
      </c>
      <c r="C93" s="11" t="s">
        <v>260</v>
      </c>
      <c r="D93" s="11" t="s">
        <v>249</v>
      </c>
      <c r="E93" s="12" t="s">
        <v>270</v>
      </c>
      <c r="F93" s="12" t="s">
        <v>271</v>
      </c>
      <c r="G93" s="11" t="s">
        <v>74</v>
      </c>
      <c r="H93" s="11" t="s">
        <v>55</v>
      </c>
      <c r="I93" s="11"/>
      <c r="J93" s="12"/>
      <c r="K93" s="12"/>
      <c r="L93" s="11"/>
      <c r="M93" s="11"/>
    </row>
    <row r="94" customFormat="false" ht="15" hidden="false" customHeight="true" outlineLevel="0" collapsed="false">
      <c r="B94" s="10" t="s">
        <v>272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customFormat="false" ht="28.5" hidden="false" customHeight="true" outlineLevel="0" collapsed="false">
      <c r="B95" s="11" t="s">
        <v>273</v>
      </c>
      <c r="C95" s="11" t="s">
        <v>274</v>
      </c>
      <c r="D95" s="11" t="s">
        <v>249</v>
      </c>
      <c r="E95" s="12" t="s">
        <v>275</v>
      </c>
      <c r="F95" s="12" t="s">
        <v>276</v>
      </c>
      <c r="G95" s="11" t="s">
        <v>74</v>
      </c>
      <c r="H95" s="11" t="s">
        <v>75</v>
      </c>
      <c r="I95" s="11"/>
      <c r="J95" s="12"/>
      <c r="K95" s="12"/>
      <c r="L95" s="11"/>
      <c r="M95" s="11"/>
    </row>
    <row r="96" customFormat="false" ht="19.5" hidden="false" customHeight="true" outlineLevel="0" collapsed="false">
      <c r="B96" s="11" t="s">
        <v>277</v>
      </c>
      <c r="C96" s="11" t="s">
        <v>274</v>
      </c>
      <c r="D96" s="11" t="s">
        <v>249</v>
      </c>
      <c r="E96" s="12" t="s">
        <v>278</v>
      </c>
      <c r="F96" s="12" t="s">
        <v>279</v>
      </c>
      <c r="G96" s="11" t="s">
        <v>74</v>
      </c>
      <c r="H96" s="11" t="s">
        <v>55</v>
      </c>
      <c r="I96" s="11"/>
      <c r="J96" s="12"/>
      <c r="K96" s="12"/>
      <c r="L96" s="11"/>
      <c r="M96" s="11"/>
    </row>
    <row r="97" customFormat="false" ht="19.5" hidden="false" customHeight="true" outlineLevel="0" collapsed="false">
      <c r="B97" s="11" t="s">
        <v>280</v>
      </c>
      <c r="C97" s="11" t="s">
        <v>274</v>
      </c>
      <c r="D97" s="11" t="s">
        <v>249</v>
      </c>
      <c r="E97" s="12" t="s">
        <v>281</v>
      </c>
      <c r="F97" s="12" t="s">
        <v>282</v>
      </c>
      <c r="G97" s="11" t="s">
        <v>74</v>
      </c>
      <c r="H97" s="11" t="s">
        <v>55</v>
      </c>
      <c r="I97" s="11"/>
      <c r="J97" s="12"/>
      <c r="K97" s="12"/>
      <c r="L97" s="11"/>
      <c r="M97" s="11"/>
    </row>
    <row r="98" customFormat="false" ht="19.5" hidden="false" customHeight="true" outlineLevel="0" collapsed="false">
      <c r="B98" s="11" t="s">
        <v>283</v>
      </c>
      <c r="C98" s="11" t="s">
        <v>274</v>
      </c>
      <c r="D98" s="11" t="s">
        <v>249</v>
      </c>
      <c r="E98" s="12" t="s">
        <v>284</v>
      </c>
      <c r="F98" s="12" t="s">
        <v>285</v>
      </c>
      <c r="G98" s="11" t="s">
        <v>74</v>
      </c>
      <c r="H98" s="11" t="s">
        <v>50</v>
      </c>
      <c r="I98" s="11"/>
      <c r="J98" s="12"/>
      <c r="K98" s="12"/>
      <c r="L98" s="11"/>
      <c r="M98" s="11"/>
    </row>
    <row r="99" customFormat="false" ht="15" hidden="false" customHeight="true" outlineLevel="0" collapsed="false">
      <c r="B99" s="10" t="s">
        <v>286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customFormat="false" ht="19.5" hidden="false" customHeight="true" outlineLevel="0" collapsed="false">
      <c r="B100" s="11" t="s">
        <v>287</v>
      </c>
      <c r="C100" s="11" t="s">
        <v>288</v>
      </c>
      <c r="D100" s="11" t="s">
        <v>249</v>
      </c>
      <c r="E100" s="12" t="s">
        <v>289</v>
      </c>
      <c r="F100" s="12" t="s">
        <v>290</v>
      </c>
      <c r="G100" s="11" t="s">
        <v>74</v>
      </c>
      <c r="H100" s="11" t="s">
        <v>75</v>
      </c>
      <c r="I100" s="11"/>
      <c r="J100" s="12"/>
      <c r="K100" s="12"/>
      <c r="L100" s="11"/>
      <c r="M100" s="11"/>
    </row>
    <row r="101" customFormat="false" ht="28.5" hidden="false" customHeight="true" outlineLevel="0" collapsed="false">
      <c r="B101" s="11" t="s">
        <v>291</v>
      </c>
      <c r="C101" s="11" t="s">
        <v>288</v>
      </c>
      <c r="D101" s="11" t="s">
        <v>249</v>
      </c>
      <c r="E101" s="12" t="s">
        <v>292</v>
      </c>
      <c r="F101" s="12" t="s">
        <v>293</v>
      </c>
      <c r="G101" s="11" t="s">
        <v>74</v>
      </c>
      <c r="H101" s="11" t="s">
        <v>75</v>
      </c>
      <c r="I101" s="11"/>
      <c r="J101" s="12"/>
      <c r="K101" s="12"/>
      <c r="L101" s="11"/>
      <c r="M101" s="11"/>
    </row>
    <row r="102" customFormat="false" ht="28.5" hidden="false" customHeight="true" outlineLevel="0" collapsed="false">
      <c r="B102" s="11" t="s">
        <v>294</v>
      </c>
      <c r="C102" s="11" t="s">
        <v>288</v>
      </c>
      <c r="D102" s="11" t="s">
        <v>249</v>
      </c>
      <c r="E102" s="12" t="s">
        <v>295</v>
      </c>
      <c r="F102" s="12" t="s">
        <v>296</v>
      </c>
      <c r="G102" s="11" t="s">
        <v>74</v>
      </c>
      <c r="H102" s="11" t="s">
        <v>50</v>
      </c>
      <c r="I102" s="11"/>
      <c r="J102" s="12"/>
      <c r="K102" s="12"/>
      <c r="L102" s="11"/>
      <c r="M102" s="11"/>
    </row>
    <row r="103" customFormat="false" ht="19.5" hidden="false" customHeight="true" outlineLevel="0" collapsed="false">
      <c r="B103" s="11" t="s">
        <v>297</v>
      </c>
      <c r="C103" s="11" t="s">
        <v>288</v>
      </c>
      <c r="D103" s="11" t="s">
        <v>249</v>
      </c>
      <c r="E103" s="12" t="s">
        <v>298</v>
      </c>
      <c r="F103" s="12" t="s">
        <v>299</v>
      </c>
      <c r="G103" s="11" t="s">
        <v>74</v>
      </c>
      <c r="H103" s="11" t="s">
        <v>50</v>
      </c>
      <c r="I103" s="11"/>
      <c r="J103" s="12"/>
      <c r="K103" s="12"/>
      <c r="L103" s="11"/>
      <c r="M103" s="11"/>
    </row>
    <row r="104" customFormat="false" ht="15" hidden="false" customHeight="true" outlineLevel="0" collapsed="false">
      <c r="B104" s="10" t="s">
        <v>300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customFormat="false" ht="28.5" hidden="false" customHeight="true" outlineLevel="0" collapsed="false">
      <c r="B105" s="11" t="s">
        <v>301</v>
      </c>
      <c r="C105" s="11" t="s">
        <v>302</v>
      </c>
      <c r="D105" s="11" t="s">
        <v>249</v>
      </c>
      <c r="E105" s="12" t="s">
        <v>303</v>
      </c>
      <c r="F105" s="12" t="s">
        <v>304</v>
      </c>
      <c r="G105" s="11" t="s">
        <v>74</v>
      </c>
      <c r="H105" s="11" t="s">
        <v>75</v>
      </c>
      <c r="I105" s="11"/>
      <c r="J105" s="12"/>
      <c r="K105" s="12"/>
      <c r="L105" s="11"/>
      <c r="M105" s="11"/>
    </row>
    <row r="106" customFormat="false" ht="28.5" hidden="false" customHeight="true" outlineLevel="0" collapsed="false">
      <c r="B106" s="11" t="s">
        <v>305</v>
      </c>
      <c r="C106" s="11" t="s">
        <v>302</v>
      </c>
      <c r="D106" s="11" t="s">
        <v>249</v>
      </c>
      <c r="E106" s="12" t="s">
        <v>306</v>
      </c>
      <c r="F106" s="12" t="s">
        <v>307</v>
      </c>
      <c r="G106" s="11" t="s">
        <v>74</v>
      </c>
      <c r="H106" s="11" t="s">
        <v>55</v>
      </c>
      <c r="I106" s="11"/>
      <c r="J106" s="12"/>
      <c r="K106" s="12"/>
      <c r="L106" s="11"/>
      <c r="M106" s="11"/>
    </row>
    <row r="107" customFormat="false" ht="19.5" hidden="false" customHeight="true" outlineLevel="0" collapsed="false">
      <c r="B107" s="11" t="s">
        <v>308</v>
      </c>
      <c r="C107" s="11" t="s">
        <v>302</v>
      </c>
      <c r="D107" s="11" t="s">
        <v>249</v>
      </c>
      <c r="E107" s="12" t="s">
        <v>309</v>
      </c>
      <c r="F107" s="12" t="s">
        <v>265</v>
      </c>
      <c r="G107" s="11" t="s">
        <v>74</v>
      </c>
      <c r="H107" s="11" t="s">
        <v>55</v>
      </c>
      <c r="I107" s="11"/>
      <c r="J107" s="12"/>
      <c r="K107" s="12"/>
      <c r="L107" s="11"/>
      <c r="M107" s="11"/>
    </row>
    <row r="108" customFormat="false" ht="19.5" hidden="false" customHeight="true" outlineLevel="0" collapsed="false">
      <c r="B108" s="11" t="s">
        <v>310</v>
      </c>
      <c r="C108" s="11" t="s">
        <v>302</v>
      </c>
      <c r="D108" s="11" t="s">
        <v>249</v>
      </c>
      <c r="E108" s="12" t="s">
        <v>311</v>
      </c>
      <c r="F108" s="12" t="s">
        <v>312</v>
      </c>
      <c r="G108" s="11" t="s">
        <v>74</v>
      </c>
      <c r="H108" s="11" t="s">
        <v>55</v>
      </c>
      <c r="I108" s="11"/>
      <c r="J108" s="12"/>
      <c r="K108" s="12"/>
      <c r="L108" s="11"/>
      <c r="M108" s="11"/>
    </row>
    <row r="109" customFormat="false" ht="15" hidden="false" customHeight="true" outlineLevel="0" collapsed="false">
      <c r="B109" s="10" t="s">
        <v>313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customFormat="false" ht="19.5" hidden="false" customHeight="true" outlineLevel="0" collapsed="false">
      <c r="B110" s="11" t="s">
        <v>314</v>
      </c>
      <c r="C110" s="11" t="s">
        <v>315</v>
      </c>
      <c r="D110" s="11" t="s">
        <v>249</v>
      </c>
      <c r="E110" s="12" t="s">
        <v>316</v>
      </c>
      <c r="F110" s="12" t="s">
        <v>317</v>
      </c>
      <c r="G110" s="11" t="s">
        <v>74</v>
      </c>
      <c r="H110" s="11" t="s">
        <v>75</v>
      </c>
      <c r="I110" s="11"/>
      <c r="J110" s="12"/>
      <c r="K110" s="12"/>
      <c r="L110" s="11"/>
      <c r="M110" s="11"/>
    </row>
    <row r="111" customFormat="false" ht="19.5" hidden="false" customHeight="true" outlineLevel="0" collapsed="false">
      <c r="B111" s="11" t="s">
        <v>318</v>
      </c>
      <c r="C111" s="11" t="s">
        <v>315</v>
      </c>
      <c r="D111" s="11" t="s">
        <v>249</v>
      </c>
      <c r="E111" s="12" t="s">
        <v>319</v>
      </c>
      <c r="F111" s="12" t="s">
        <v>320</v>
      </c>
      <c r="G111" s="11" t="s">
        <v>74</v>
      </c>
      <c r="H111" s="11" t="s">
        <v>75</v>
      </c>
      <c r="I111" s="11"/>
      <c r="J111" s="12"/>
      <c r="K111" s="12"/>
      <c r="L111" s="11"/>
      <c r="M111" s="11"/>
    </row>
    <row r="112" customFormat="false" ht="19.5" hidden="false" customHeight="true" outlineLevel="0" collapsed="false">
      <c r="B112" s="11" t="s">
        <v>321</v>
      </c>
      <c r="C112" s="11" t="s">
        <v>315</v>
      </c>
      <c r="D112" s="11" t="s">
        <v>249</v>
      </c>
      <c r="E112" s="12" t="s">
        <v>322</v>
      </c>
      <c r="F112" s="12" t="s">
        <v>323</v>
      </c>
      <c r="G112" s="11" t="s">
        <v>74</v>
      </c>
      <c r="H112" s="11" t="s">
        <v>75</v>
      </c>
      <c r="I112" s="11"/>
      <c r="J112" s="12"/>
      <c r="K112" s="12"/>
      <c r="L112" s="11"/>
      <c r="M112" s="11"/>
    </row>
    <row r="113" customFormat="false" ht="19.5" hidden="false" customHeight="true" outlineLevel="0" collapsed="false">
      <c r="B113" s="11" t="s">
        <v>324</v>
      </c>
      <c r="C113" s="11" t="s">
        <v>315</v>
      </c>
      <c r="D113" s="11" t="s">
        <v>249</v>
      </c>
      <c r="E113" s="12" t="s">
        <v>325</v>
      </c>
      <c r="F113" s="12" t="s">
        <v>326</v>
      </c>
      <c r="G113" s="11" t="s">
        <v>74</v>
      </c>
      <c r="H113" s="11" t="s">
        <v>55</v>
      </c>
      <c r="I113" s="11"/>
      <c r="J113" s="12"/>
      <c r="K113" s="12"/>
      <c r="L113" s="11"/>
      <c r="M113" s="11"/>
    </row>
    <row r="115" customFormat="false" ht="39.75" hidden="false" customHeight="true" outlineLevel="0" collapsed="false">
      <c r="B115" s="8" t="s">
        <v>327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</sheetData>
  <mergeCells count="25">
    <mergeCell ref="B2:D4"/>
    <mergeCell ref="E2:J2"/>
    <mergeCell ref="K2:M2"/>
    <mergeCell ref="E3:J4"/>
    <mergeCell ref="K3:M3"/>
    <mergeCell ref="K4:L4"/>
    <mergeCell ref="B6:E6"/>
    <mergeCell ref="F6:H6"/>
    <mergeCell ref="I6:M6"/>
    <mergeCell ref="B7:E7"/>
    <mergeCell ref="F7:H7"/>
    <mergeCell ref="I7:K7"/>
    <mergeCell ref="L7:M7"/>
    <mergeCell ref="B10:M10"/>
    <mergeCell ref="B25:M25"/>
    <mergeCell ref="B40:M40"/>
    <mergeCell ref="B55:M55"/>
    <mergeCell ref="B70:M70"/>
    <mergeCell ref="B85:M85"/>
    <mergeCell ref="B89:M89"/>
    <mergeCell ref="B94:M94"/>
    <mergeCell ref="B99:M99"/>
    <mergeCell ref="B104:M104"/>
    <mergeCell ref="B109:M109"/>
    <mergeCell ref="B115:M115"/>
  </mergeCells>
  <conditionalFormatting sqref="I10:I113">
    <cfRule type="cellIs" priority="2" operator="equal" aboveAverage="0" equalAverage="0" bottom="0" percent="0" rank="0" text="" dxfId="0">
      <formula>"C"</formula>
    </cfRule>
    <cfRule type="cellIs" priority="3" operator="equal" aboveAverage="0" equalAverage="0" bottom="0" percent="0" rank="0" text="" dxfId="1">
      <formula>"NC"</formula>
    </cfRule>
    <cfRule type="cellIs" priority="4" operator="equal" aboveAverage="0" equalAverage="0" bottom="0" percent="0" rank="0" text="" dxfId="2">
      <formula>"NA"</formula>
    </cfRule>
  </conditionalFormatting>
  <dataValidations count="1">
    <dataValidation allowBlank="true" error="Use C, NC o NA" errorStyle="stop" errorTitle="Valor no válido" operator="between" showDropDown="false" showErrorMessage="false" showInputMessage="false" sqref="I10:I113" type="list">
      <formula1>"C,NC,NA"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8" min="6" style="0" width="8"/>
    <col collapsed="false" customWidth="true" hidden="false" outlineLevel="0" max="10" min="9" style="0" width="13"/>
  </cols>
  <sheetData>
    <row r="2" customFormat="false" ht="25.5" hidden="false" customHeight="true" outlineLevel="0" collapsed="false">
      <c r="B2" s="1"/>
      <c r="C2" s="1"/>
      <c r="D2" s="2" t="s">
        <v>0</v>
      </c>
      <c r="E2" s="2"/>
      <c r="F2" s="2"/>
      <c r="G2" s="2"/>
      <c r="H2" s="2"/>
      <c r="I2" s="3" t="s">
        <v>1</v>
      </c>
      <c r="J2" s="3"/>
    </row>
    <row r="3" customFormat="false" ht="15" hidden="false" customHeight="true" outlineLevel="0" collapsed="false">
      <c r="B3" s="1"/>
      <c r="C3" s="1"/>
      <c r="D3" s="4" t="s">
        <v>328</v>
      </c>
      <c r="E3" s="4"/>
      <c r="F3" s="4"/>
      <c r="G3" s="4"/>
      <c r="H3" s="4"/>
      <c r="I3" s="5" t="s">
        <v>3</v>
      </c>
      <c r="J3" s="5"/>
    </row>
    <row r="4" customFormat="false" ht="15" hidden="false" customHeight="true" outlineLevel="0" collapsed="false">
      <c r="B4" s="1"/>
      <c r="C4" s="1"/>
      <c r="D4" s="4"/>
      <c r="E4" s="4"/>
      <c r="F4" s="4"/>
      <c r="G4" s="4"/>
      <c r="H4" s="4"/>
      <c r="I4" s="5" t="s">
        <v>4</v>
      </c>
      <c r="J4" s="5" t="s">
        <v>5</v>
      </c>
    </row>
    <row r="6" customFormat="false" ht="15" hidden="false" customHeight="true" outlineLevel="0" collapsed="false">
      <c r="B6" s="10" t="s">
        <v>329</v>
      </c>
      <c r="C6" s="10"/>
      <c r="D6" s="10"/>
      <c r="E6" s="10"/>
      <c r="F6" s="10"/>
      <c r="G6" s="10"/>
      <c r="H6" s="10"/>
      <c r="I6" s="10"/>
      <c r="J6" s="10"/>
    </row>
    <row r="7" customFormat="false" ht="24" hidden="false" customHeight="true" outlineLevel="0" collapsed="false">
      <c r="B7" s="9" t="s">
        <v>330</v>
      </c>
      <c r="C7" s="9" t="s">
        <v>32</v>
      </c>
      <c r="D7" s="9" t="s">
        <v>331</v>
      </c>
      <c r="E7" s="9" t="s">
        <v>332</v>
      </c>
      <c r="F7" s="9" t="s">
        <v>333</v>
      </c>
      <c r="G7" s="9" t="s">
        <v>334</v>
      </c>
      <c r="H7" s="9" t="s">
        <v>335</v>
      </c>
      <c r="I7" s="9" t="s">
        <v>18</v>
      </c>
      <c r="J7" s="9" t="s">
        <v>14</v>
      </c>
    </row>
    <row r="8" customFormat="false" ht="15.75" hidden="false" customHeight="true" outlineLevel="0" collapsed="false">
      <c r="B8" s="11" t="s">
        <v>45</v>
      </c>
      <c r="C8" s="12" t="s">
        <v>336</v>
      </c>
      <c r="D8" s="11" t="s">
        <v>337</v>
      </c>
      <c r="E8" s="11" t="n">
        <f aca="false">COUNTIF('Pauta Auditoría'!$C$10:$C$113,B8)</f>
        <v>14</v>
      </c>
      <c r="F8" s="11" t="n">
        <f aca="false">COUNTIFS('Pauta Auditoría'!$C$10:$C$113,B8,'Pauta Auditoría'!$I$10:$I$113,"C")</f>
        <v>0</v>
      </c>
      <c r="G8" s="11" t="n">
        <f aca="false">COUNTIFS('Pauta Auditoría'!$C$10:$C$113,B8,'Pauta Auditoría'!$I$10:$I$113,"NC")</f>
        <v>0</v>
      </c>
      <c r="H8" s="11" t="n">
        <f aca="false">COUNTIFS('Pauta Auditoría'!$C$10:$C$113,B8,'Pauta Auditoría'!$I$10:$I$113,"NA")</f>
        <v>0</v>
      </c>
      <c r="I8" s="14" t="str">
        <f aca="false">IF(F8+G8=0,"",F8/(F8+G8))</f>
        <v/>
      </c>
      <c r="J8" s="11" t="n">
        <f aca="false">COUNTIFS('Pauta Auditoría'!$C$10:$C$113,B8,'Pauta Auditoría'!$D$10:$D$113,"Desviación crítica",'Pauta Auditoría'!$I$10:$I$113,"NC")</f>
        <v>0</v>
      </c>
    </row>
    <row r="9" customFormat="false" ht="15.75" hidden="false" customHeight="true" outlineLevel="0" collapsed="false">
      <c r="B9" s="11" t="s">
        <v>96</v>
      </c>
      <c r="C9" s="12" t="s">
        <v>338</v>
      </c>
      <c r="D9" s="11" t="s">
        <v>337</v>
      </c>
      <c r="E9" s="11" t="n">
        <f aca="false">COUNTIF('Pauta Auditoría'!$C$10:$C$113,B9)</f>
        <v>14</v>
      </c>
      <c r="F9" s="11" t="n">
        <f aca="false">COUNTIFS('Pauta Auditoría'!$C$10:$C$113,B9,'Pauta Auditoría'!$I$10:$I$113,"C")</f>
        <v>0</v>
      </c>
      <c r="G9" s="11" t="n">
        <f aca="false">COUNTIFS('Pauta Auditoría'!$C$10:$C$113,B9,'Pauta Auditoría'!$I$10:$I$113,"NC")</f>
        <v>0</v>
      </c>
      <c r="H9" s="11" t="n">
        <f aca="false">COUNTIFS('Pauta Auditoría'!$C$10:$C$113,B9,'Pauta Auditoría'!$I$10:$I$113,"NA")</f>
        <v>0</v>
      </c>
      <c r="I9" s="14" t="str">
        <f aca="false">IF(F9+G9=0,"",F9/(F9+G9))</f>
        <v/>
      </c>
      <c r="J9" s="11" t="n">
        <f aca="false">COUNTIFS('Pauta Auditoría'!$C$10:$C$113,B9,'Pauta Auditoría'!$D$10:$D$113,"Desviación crítica",'Pauta Auditoría'!$I$10:$I$113,"NC")</f>
        <v>0</v>
      </c>
    </row>
    <row r="10" customFormat="false" ht="15.75" hidden="false" customHeight="true" outlineLevel="0" collapsed="false">
      <c r="B10" s="11" t="s">
        <v>136</v>
      </c>
      <c r="C10" s="12" t="s">
        <v>339</v>
      </c>
      <c r="D10" s="11" t="s">
        <v>337</v>
      </c>
      <c r="E10" s="11" t="n">
        <f aca="false">COUNTIF('Pauta Auditoría'!$C$10:$C$113,B10)</f>
        <v>14</v>
      </c>
      <c r="F10" s="11" t="n">
        <f aca="false">COUNTIFS('Pauta Auditoría'!$C$10:$C$113,B10,'Pauta Auditoría'!$I$10:$I$113,"C")</f>
        <v>0</v>
      </c>
      <c r="G10" s="11" t="n">
        <f aca="false">COUNTIFS('Pauta Auditoría'!$C$10:$C$113,B10,'Pauta Auditoría'!$I$10:$I$113,"NC")</f>
        <v>0</v>
      </c>
      <c r="H10" s="11" t="n">
        <f aca="false">COUNTIFS('Pauta Auditoría'!$C$10:$C$113,B10,'Pauta Auditoría'!$I$10:$I$113,"NA")</f>
        <v>0</v>
      </c>
      <c r="I10" s="14" t="str">
        <f aca="false">IF(F10+G10=0,"",F10/(F10+G10))</f>
        <v/>
      </c>
      <c r="J10" s="11" t="n">
        <f aca="false">COUNTIFS('Pauta Auditoría'!$C$10:$C$113,B10,'Pauta Auditoría'!$D$10:$D$113,"Desviación crítica",'Pauta Auditoría'!$I$10:$I$113,"NC")</f>
        <v>0</v>
      </c>
    </row>
    <row r="11" customFormat="false" ht="15.75" hidden="false" customHeight="true" outlineLevel="0" collapsed="false">
      <c r="B11" s="11" t="s">
        <v>175</v>
      </c>
      <c r="C11" s="12" t="s">
        <v>340</v>
      </c>
      <c r="D11" s="11" t="s">
        <v>341</v>
      </c>
      <c r="E11" s="11" t="n">
        <f aca="false">COUNTIF('Pauta Auditoría'!$C$10:$C$113,B11)</f>
        <v>14</v>
      </c>
      <c r="F11" s="11" t="n">
        <f aca="false">COUNTIFS('Pauta Auditoría'!$C$10:$C$113,B11,'Pauta Auditoría'!$I$10:$I$113,"C")</f>
        <v>0</v>
      </c>
      <c r="G11" s="11" t="n">
        <f aca="false">COUNTIFS('Pauta Auditoría'!$C$10:$C$113,B11,'Pauta Auditoría'!$I$10:$I$113,"NC")</f>
        <v>0</v>
      </c>
      <c r="H11" s="11" t="n">
        <f aca="false">COUNTIFS('Pauta Auditoría'!$C$10:$C$113,B11,'Pauta Auditoría'!$I$10:$I$113,"NA")</f>
        <v>0</v>
      </c>
      <c r="I11" s="14" t="str">
        <f aca="false">IF(F11+G11=0,"",F11/(F11+G11))</f>
        <v/>
      </c>
      <c r="J11" s="11" t="n">
        <f aca="false">COUNTIFS('Pauta Auditoría'!$C$10:$C$113,B11,'Pauta Auditoría'!$D$10:$D$113,"Desviación crítica",'Pauta Auditoría'!$I$10:$I$113,"NC")</f>
        <v>0</v>
      </c>
    </row>
    <row r="12" customFormat="false" ht="15.75" hidden="false" customHeight="true" outlineLevel="0" collapsed="false">
      <c r="B12" s="11" t="s">
        <v>212</v>
      </c>
      <c r="C12" s="12" t="s">
        <v>342</v>
      </c>
      <c r="D12" s="11" t="s">
        <v>341</v>
      </c>
      <c r="E12" s="11" t="n">
        <f aca="false">COUNTIF('Pauta Auditoría'!$C$10:$C$113,B12)</f>
        <v>14</v>
      </c>
      <c r="F12" s="11" t="n">
        <f aca="false">COUNTIFS('Pauta Auditoría'!$C$10:$C$113,B12,'Pauta Auditoría'!$I$10:$I$113,"C")</f>
        <v>0</v>
      </c>
      <c r="G12" s="11" t="n">
        <f aca="false">COUNTIFS('Pauta Auditoría'!$C$10:$C$113,B12,'Pauta Auditoría'!$I$10:$I$113,"NC")</f>
        <v>0</v>
      </c>
      <c r="H12" s="11" t="n">
        <f aca="false">COUNTIFS('Pauta Auditoría'!$C$10:$C$113,B12,'Pauta Auditoría'!$I$10:$I$113,"NA")</f>
        <v>0</v>
      </c>
      <c r="I12" s="14" t="str">
        <f aca="false">IF(F12+G12=0,"",F12/(F12+G12))</f>
        <v/>
      </c>
      <c r="J12" s="11" t="n">
        <f aca="false">COUNTIFS('Pauta Auditoría'!$C$10:$C$113,B12,'Pauta Auditoría'!$D$10:$D$113,"Desviación crítica",'Pauta Auditoría'!$I$10:$I$113,"NC")</f>
        <v>0</v>
      </c>
    </row>
    <row r="13" customFormat="false" ht="15.75" hidden="false" customHeight="true" outlineLevel="0" collapsed="false">
      <c r="B13" s="11" t="s">
        <v>248</v>
      </c>
      <c r="C13" s="12" t="s">
        <v>343</v>
      </c>
      <c r="D13" s="11" t="s">
        <v>344</v>
      </c>
      <c r="E13" s="11" t="n">
        <f aca="false">COUNTIF('Pauta Auditoría'!$C$10:$C$113,B13)</f>
        <v>3</v>
      </c>
      <c r="F13" s="11" t="n">
        <f aca="false">COUNTIFS('Pauta Auditoría'!$C$10:$C$113,B13,'Pauta Auditoría'!$I$10:$I$113,"C")</f>
        <v>0</v>
      </c>
      <c r="G13" s="11" t="n">
        <f aca="false">COUNTIFS('Pauta Auditoría'!$C$10:$C$113,B13,'Pauta Auditoría'!$I$10:$I$113,"NC")</f>
        <v>0</v>
      </c>
      <c r="H13" s="11" t="n">
        <f aca="false">COUNTIFS('Pauta Auditoría'!$C$10:$C$113,B13,'Pauta Auditoría'!$I$10:$I$113,"NA")</f>
        <v>0</v>
      </c>
      <c r="I13" s="14" t="str">
        <f aca="false">IF(F13+G13=0,"",F13/(F13+G13))</f>
        <v/>
      </c>
      <c r="J13" s="11" t="n">
        <f aca="false">COUNTIFS('Pauta Auditoría'!$C$10:$C$113,B13,'Pauta Auditoría'!$D$10:$D$113,"Desviación crítica",'Pauta Auditoría'!$I$10:$I$113,"NC")</f>
        <v>0</v>
      </c>
    </row>
    <row r="14" customFormat="false" ht="15.75" hidden="false" customHeight="true" outlineLevel="0" collapsed="false">
      <c r="B14" s="11" t="s">
        <v>260</v>
      </c>
      <c r="C14" s="12" t="s">
        <v>345</v>
      </c>
      <c r="D14" s="11" t="s">
        <v>344</v>
      </c>
      <c r="E14" s="11" t="n">
        <f aca="false">COUNTIF('Pauta Auditoría'!$C$10:$C$113,B14)</f>
        <v>4</v>
      </c>
      <c r="F14" s="11" t="n">
        <f aca="false">COUNTIFS('Pauta Auditoría'!$C$10:$C$113,B14,'Pauta Auditoría'!$I$10:$I$113,"C")</f>
        <v>0</v>
      </c>
      <c r="G14" s="11" t="n">
        <f aca="false">COUNTIFS('Pauta Auditoría'!$C$10:$C$113,B14,'Pauta Auditoría'!$I$10:$I$113,"NC")</f>
        <v>0</v>
      </c>
      <c r="H14" s="11" t="n">
        <f aca="false">COUNTIFS('Pauta Auditoría'!$C$10:$C$113,B14,'Pauta Auditoría'!$I$10:$I$113,"NA")</f>
        <v>0</v>
      </c>
      <c r="I14" s="14" t="str">
        <f aca="false">IF(F14+G14=0,"",F14/(F14+G14))</f>
        <v/>
      </c>
      <c r="J14" s="11" t="n">
        <f aca="false">COUNTIFS('Pauta Auditoría'!$C$10:$C$113,B14,'Pauta Auditoría'!$D$10:$D$113,"Desviación crítica",'Pauta Auditoría'!$I$10:$I$113,"NC")</f>
        <v>0</v>
      </c>
    </row>
    <row r="15" customFormat="false" ht="15.75" hidden="false" customHeight="true" outlineLevel="0" collapsed="false">
      <c r="B15" s="11" t="s">
        <v>274</v>
      </c>
      <c r="C15" s="12" t="s">
        <v>346</v>
      </c>
      <c r="D15" s="11" t="s">
        <v>344</v>
      </c>
      <c r="E15" s="11" t="n">
        <f aca="false">COUNTIF('Pauta Auditoría'!$C$10:$C$113,B15)</f>
        <v>4</v>
      </c>
      <c r="F15" s="11" t="n">
        <f aca="false">COUNTIFS('Pauta Auditoría'!$C$10:$C$113,B15,'Pauta Auditoría'!$I$10:$I$113,"C")</f>
        <v>0</v>
      </c>
      <c r="G15" s="11" t="n">
        <f aca="false">COUNTIFS('Pauta Auditoría'!$C$10:$C$113,B15,'Pauta Auditoría'!$I$10:$I$113,"NC")</f>
        <v>0</v>
      </c>
      <c r="H15" s="11" t="n">
        <f aca="false">COUNTIFS('Pauta Auditoría'!$C$10:$C$113,B15,'Pauta Auditoría'!$I$10:$I$113,"NA")</f>
        <v>0</v>
      </c>
      <c r="I15" s="14" t="str">
        <f aca="false">IF(F15+G15=0,"",F15/(F15+G15))</f>
        <v/>
      </c>
      <c r="J15" s="11" t="n">
        <f aca="false">COUNTIFS('Pauta Auditoría'!$C$10:$C$113,B15,'Pauta Auditoría'!$D$10:$D$113,"Desviación crítica",'Pauta Auditoría'!$I$10:$I$113,"NC")</f>
        <v>0</v>
      </c>
    </row>
    <row r="16" customFormat="false" ht="15.75" hidden="false" customHeight="true" outlineLevel="0" collapsed="false">
      <c r="B16" s="11" t="s">
        <v>288</v>
      </c>
      <c r="C16" s="12" t="s">
        <v>347</v>
      </c>
      <c r="D16" s="11" t="s">
        <v>344</v>
      </c>
      <c r="E16" s="11" t="n">
        <f aca="false">COUNTIF('Pauta Auditoría'!$C$10:$C$113,B16)</f>
        <v>4</v>
      </c>
      <c r="F16" s="11" t="n">
        <f aca="false">COUNTIFS('Pauta Auditoría'!$C$10:$C$113,B16,'Pauta Auditoría'!$I$10:$I$113,"C")</f>
        <v>0</v>
      </c>
      <c r="G16" s="11" t="n">
        <f aca="false">COUNTIFS('Pauta Auditoría'!$C$10:$C$113,B16,'Pauta Auditoría'!$I$10:$I$113,"NC")</f>
        <v>0</v>
      </c>
      <c r="H16" s="11" t="n">
        <f aca="false">COUNTIFS('Pauta Auditoría'!$C$10:$C$113,B16,'Pauta Auditoría'!$I$10:$I$113,"NA")</f>
        <v>0</v>
      </c>
      <c r="I16" s="14" t="str">
        <f aca="false">IF(F16+G16=0,"",F16/(F16+G16))</f>
        <v/>
      </c>
      <c r="J16" s="11" t="n">
        <f aca="false">COUNTIFS('Pauta Auditoría'!$C$10:$C$113,B16,'Pauta Auditoría'!$D$10:$D$113,"Desviación crítica",'Pauta Auditoría'!$I$10:$I$113,"NC")</f>
        <v>0</v>
      </c>
    </row>
    <row r="17" customFormat="false" ht="15.75" hidden="false" customHeight="true" outlineLevel="0" collapsed="false">
      <c r="B17" s="11" t="s">
        <v>302</v>
      </c>
      <c r="C17" s="12" t="s">
        <v>348</v>
      </c>
      <c r="D17" s="11" t="s">
        <v>349</v>
      </c>
      <c r="E17" s="11" t="n">
        <f aca="false">COUNTIF('Pauta Auditoría'!$C$10:$C$113,B17)</f>
        <v>4</v>
      </c>
      <c r="F17" s="11" t="n">
        <f aca="false">COUNTIFS('Pauta Auditoría'!$C$10:$C$113,B17,'Pauta Auditoría'!$I$10:$I$113,"C")</f>
        <v>0</v>
      </c>
      <c r="G17" s="11" t="n">
        <f aca="false">COUNTIFS('Pauta Auditoría'!$C$10:$C$113,B17,'Pauta Auditoría'!$I$10:$I$113,"NC")</f>
        <v>0</v>
      </c>
      <c r="H17" s="11" t="n">
        <f aca="false">COUNTIFS('Pauta Auditoría'!$C$10:$C$113,B17,'Pauta Auditoría'!$I$10:$I$113,"NA")</f>
        <v>0</v>
      </c>
      <c r="I17" s="14" t="str">
        <f aca="false">IF(F17+G17=0,"",F17/(F17+G17))</f>
        <v/>
      </c>
      <c r="J17" s="11" t="n">
        <f aca="false">COUNTIFS('Pauta Auditoría'!$C$10:$C$113,B17,'Pauta Auditoría'!$D$10:$D$113,"Desviación crítica",'Pauta Auditoría'!$I$10:$I$113,"NC")</f>
        <v>0</v>
      </c>
    </row>
    <row r="18" customFormat="false" ht="15.75" hidden="false" customHeight="true" outlineLevel="0" collapsed="false">
      <c r="B18" s="11" t="s">
        <v>315</v>
      </c>
      <c r="C18" s="12" t="s">
        <v>350</v>
      </c>
      <c r="D18" s="11" t="s">
        <v>349</v>
      </c>
      <c r="E18" s="11" t="n">
        <f aca="false">COUNTIF('Pauta Auditoría'!$C$10:$C$113,B18)</f>
        <v>4</v>
      </c>
      <c r="F18" s="11" t="n">
        <f aca="false">COUNTIFS('Pauta Auditoría'!$C$10:$C$113,B18,'Pauta Auditoría'!$I$10:$I$113,"C")</f>
        <v>0</v>
      </c>
      <c r="G18" s="11" t="n">
        <f aca="false">COUNTIFS('Pauta Auditoría'!$C$10:$C$113,B18,'Pauta Auditoría'!$I$10:$I$113,"NC")</f>
        <v>0</v>
      </c>
      <c r="H18" s="11" t="n">
        <f aca="false">COUNTIFS('Pauta Auditoría'!$C$10:$C$113,B18,'Pauta Auditoría'!$I$10:$I$113,"NA")</f>
        <v>0</v>
      </c>
      <c r="I18" s="14" t="str">
        <f aca="false">IF(F18+G18=0,"",F18/(F18+G18))</f>
        <v/>
      </c>
      <c r="J18" s="11" t="n">
        <f aca="false">COUNTIFS('Pauta Auditoría'!$C$10:$C$113,B18,'Pauta Auditoría'!$D$10:$D$113,"Desviación crítica",'Pauta Auditoría'!$I$10:$I$113,"NC")</f>
        <v>0</v>
      </c>
    </row>
    <row r="19" customFormat="false" ht="15" hidden="false" customHeight="true" outlineLevel="0" collapsed="false">
      <c r="B19" s="6" t="s">
        <v>351</v>
      </c>
      <c r="C19" s="6"/>
      <c r="D19" s="6"/>
      <c r="E19" s="15" t="n">
        <f aca="false">SUM(E8:E18)</f>
        <v>93</v>
      </c>
      <c r="F19" s="15" t="n">
        <f aca="false">SUM(F8:F18)</f>
        <v>0</v>
      </c>
      <c r="G19" s="15" t="n">
        <f aca="false">SUM(G8:G18)</f>
        <v>0</v>
      </c>
      <c r="H19" s="15" t="n">
        <f aca="false">SUM(H8:H18)</f>
        <v>0</v>
      </c>
      <c r="I19" s="16" t="str">
        <f aca="false">IF(F19+G19=0,"",F19/(F19+G19))</f>
        <v/>
      </c>
      <c r="J19" s="15" t="n">
        <f aca="false">SUM(J8:J18)</f>
        <v>0</v>
      </c>
    </row>
    <row r="21" customFormat="false" ht="15" hidden="false" customHeight="true" outlineLevel="0" collapsed="false">
      <c r="B21" s="10" t="s">
        <v>352</v>
      </c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B22" s="9"/>
      <c r="C22" s="9" t="s">
        <v>33</v>
      </c>
      <c r="D22" s="9"/>
      <c r="E22" s="9" t="s">
        <v>332</v>
      </c>
      <c r="F22" s="9" t="s">
        <v>333</v>
      </c>
      <c r="G22" s="9" t="s">
        <v>334</v>
      </c>
      <c r="H22" s="9" t="s">
        <v>335</v>
      </c>
      <c r="I22" s="9" t="s">
        <v>18</v>
      </c>
      <c r="J22" s="9"/>
    </row>
    <row r="23" customFormat="false" ht="15.75" hidden="false" customHeight="true" outlineLevel="0" collapsed="false">
      <c r="B23" s="11"/>
      <c r="C23" s="12" t="s">
        <v>46</v>
      </c>
      <c r="D23" s="12"/>
      <c r="E23" s="11" t="n">
        <f aca="false">COUNTIF('Pauta Auditoría'!$D$10:$D$113,C23)</f>
        <v>30</v>
      </c>
      <c r="F23" s="11" t="n">
        <f aca="false">COUNTIFS('Pauta Auditoría'!$D$10:$D$113,C23,'Pauta Auditoría'!$I$10:$I$113,"C")</f>
        <v>0</v>
      </c>
      <c r="G23" s="11" t="n">
        <f aca="false">COUNTIFS('Pauta Auditoría'!$D$10:$D$113,C23,'Pauta Auditoría'!$I$10:$I$113,"NC")</f>
        <v>0</v>
      </c>
      <c r="H23" s="11" t="n">
        <f aca="false">COUNTIFS('Pauta Auditoría'!$D$10:$D$113,C23,'Pauta Auditoría'!$I$10:$I$113,"NA")</f>
        <v>0</v>
      </c>
      <c r="I23" s="14" t="str">
        <f aca="false">IF(F23+G23=0,"",F23/(F23+G23))</f>
        <v/>
      </c>
      <c r="J23" s="11"/>
    </row>
    <row r="24" customFormat="false" ht="15.75" hidden="false" customHeight="true" outlineLevel="0" collapsed="false">
      <c r="B24" s="11"/>
      <c r="C24" s="12" t="s">
        <v>71</v>
      </c>
      <c r="D24" s="12"/>
      <c r="E24" s="11" t="n">
        <f aca="false">COUNTIF('Pauta Auditoría'!$D$10:$D$113,C24)</f>
        <v>25</v>
      </c>
      <c r="F24" s="11" t="n">
        <f aca="false">COUNTIFS('Pauta Auditoría'!$D$10:$D$113,C24,'Pauta Auditoría'!$I$10:$I$113,"C")</f>
        <v>0</v>
      </c>
      <c r="G24" s="11" t="n">
        <f aca="false">COUNTIFS('Pauta Auditoría'!$D$10:$D$113,C24,'Pauta Auditoría'!$I$10:$I$113,"NC")</f>
        <v>0</v>
      </c>
      <c r="H24" s="11" t="n">
        <f aca="false">COUNTIFS('Pauta Auditoría'!$D$10:$D$113,C24,'Pauta Auditoría'!$I$10:$I$113,"NA")</f>
        <v>0</v>
      </c>
      <c r="I24" s="14" t="str">
        <f aca="false">IF(F24+G24=0,"",F24/(F24+G24))</f>
        <v/>
      </c>
      <c r="J24" s="11"/>
    </row>
    <row r="25" customFormat="false" ht="15.75" hidden="false" customHeight="true" outlineLevel="0" collapsed="false">
      <c r="B25" s="11"/>
      <c r="C25" s="12" t="s">
        <v>85</v>
      </c>
      <c r="D25" s="12"/>
      <c r="E25" s="11" t="n">
        <f aca="false">COUNTIF('Pauta Auditoría'!$D$10:$D$113,C25)</f>
        <v>15</v>
      </c>
      <c r="F25" s="11" t="n">
        <f aca="false">COUNTIFS('Pauta Auditoría'!$D$10:$D$113,C25,'Pauta Auditoría'!$I$10:$I$113,"C")</f>
        <v>0</v>
      </c>
      <c r="G25" s="11" t="n">
        <f aca="false">COUNTIFS('Pauta Auditoría'!$D$10:$D$113,C25,'Pauta Auditoría'!$I$10:$I$113,"NC")</f>
        <v>0</v>
      </c>
      <c r="H25" s="11" t="n">
        <f aca="false">COUNTIFS('Pauta Auditoría'!$D$10:$D$113,C25,'Pauta Auditoría'!$I$10:$I$113,"NA")</f>
        <v>0</v>
      </c>
      <c r="I25" s="14" t="str">
        <f aca="false">IF(F25+G25=0,"",F25/(F25+G25))</f>
        <v/>
      </c>
      <c r="J25" s="11"/>
    </row>
    <row r="26" customFormat="false" ht="15.75" hidden="false" customHeight="true" outlineLevel="0" collapsed="false">
      <c r="B26" s="11"/>
      <c r="C26" s="12" t="s">
        <v>249</v>
      </c>
      <c r="D26" s="12"/>
      <c r="E26" s="11" t="n">
        <f aca="false">COUNTIF('Pauta Auditoría'!$D$10:$D$113,C26)</f>
        <v>23</v>
      </c>
      <c r="F26" s="11" t="n">
        <f aca="false">COUNTIFS('Pauta Auditoría'!$D$10:$D$113,C26,'Pauta Auditoría'!$I$10:$I$113,"C")</f>
        <v>0</v>
      </c>
      <c r="G26" s="11" t="n">
        <f aca="false">COUNTIFS('Pauta Auditoría'!$D$10:$D$113,C26,'Pauta Auditoría'!$I$10:$I$113,"NC")</f>
        <v>0</v>
      </c>
      <c r="H26" s="11" t="n">
        <f aca="false">COUNTIFS('Pauta Auditoría'!$D$10:$D$113,C26,'Pauta Auditoría'!$I$10:$I$113,"NA")</f>
        <v>0</v>
      </c>
      <c r="I26" s="14" t="str">
        <f aca="false">IF(F26+G26=0,"",F26/(F26+G26))</f>
        <v/>
      </c>
      <c r="J26" s="11"/>
    </row>
    <row r="28" customFormat="false" ht="15" hidden="false" customHeight="true" outlineLevel="0" collapsed="false">
      <c r="B28" s="10" t="s">
        <v>353</v>
      </c>
      <c r="C28" s="10"/>
      <c r="D28" s="10"/>
      <c r="E28" s="10"/>
      <c r="F28" s="10"/>
      <c r="G28" s="10"/>
      <c r="H28" s="10"/>
      <c r="I28" s="10"/>
      <c r="J28" s="10"/>
    </row>
    <row r="29" customFormat="false" ht="19.5" hidden="false" customHeight="true" outlineLevel="0" collapsed="false">
      <c r="B29" s="6" t="s">
        <v>354</v>
      </c>
      <c r="C29" s="6"/>
      <c r="D29" s="6"/>
      <c r="E29" s="17" t="str">
        <f aca="false">I19</f>
        <v/>
      </c>
      <c r="F29" s="17"/>
      <c r="G29" s="17"/>
      <c r="H29" s="17"/>
      <c r="I29" s="17"/>
      <c r="J29" s="17"/>
    </row>
    <row r="30" customFormat="false" ht="21.75" hidden="false" customHeight="true" outlineLevel="0" collapsed="false">
      <c r="B30" s="6" t="s">
        <v>355</v>
      </c>
      <c r="C30" s="6"/>
      <c r="D30" s="6"/>
      <c r="E30" s="2" t="str">
        <f aca="false">IF(F19+G19=0,"SIN EVALUAR",IF(J19&gt;0,"NO CONFORME – DESVIACIÓN CRÍTICA: DETENER Y REPORTAR",IF(I19&gt;=0.9,"SATISFACTORIO",IF(I19&gt;=0.75,"ACEPTABLE CON OBSERVACIONES","DEFICIENTE"))))</f>
        <v>SIN EVALUAR</v>
      </c>
      <c r="F30" s="2"/>
      <c r="G30" s="2"/>
      <c r="H30" s="2"/>
      <c r="I30" s="2"/>
      <c r="J30" s="2"/>
    </row>
    <row r="31" customFormat="false" ht="15" hidden="false" customHeight="true" outlineLevel="0" collapsed="false">
      <c r="B31" s="18" t="s">
        <v>356</v>
      </c>
      <c r="C31" s="18"/>
      <c r="D31" s="18"/>
      <c r="E31" s="18"/>
      <c r="F31" s="18"/>
      <c r="G31" s="18"/>
      <c r="H31" s="18"/>
      <c r="I31" s="18"/>
      <c r="J31" s="18"/>
    </row>
    <row r="33" customFormat="false" ht="45" hidden="false" customHeight="true" outlineLevel="0" collapsed="false">
      <c r="B33" s="8" t="s">
        <v>357</v>
      </c>
      <c r="C33" s="8"/>
      <c r="D33" s="8"/>
      <c r="E33" s="8"/>
      <c r="F33" s="8"/>
      <c r="G33" s="8"/>
      <c r="H33" s="8"/>
      <c r="I33" s="8"/>
      <c r="J33" s="8"/>
    </row>
    <row r="34" customFormat="false" ht="31.5" hidden="false" customHeight="true" outlineLevel="0" collapsed="false">
      <c r="B34" s="19" t="s">
        <v>358</v>
      </c>
      <c r="C34" s="19"/>
      <c r="D34" s="19"/>
      <c r="E34" s="19" t="s">
        <v>359</v>
      </c>
      <c r="F34" s="19"/>
      <c r="G34" s="19"/>
      <c r="H34" s="19"/>
      <c r="I34" s="19"/>
      <c r="J34" s="19"/>
    </row>
    <row r="35" customFormat="false" ht="31.5" hidden="false" customHeight="true" outlineLevel="0" collapsed="false">
      <c r="B35" s="19" t="s">
        <v>360</v>
      </c>
      <c r="C35" s="19"/>
      <c r="D35" s="19"/>
      <c r="E35" s="19" t="s">
        <v>361</v>
      </c>
      <c r="F35" s="19"/>
      <c r="G35" s="19"/>
      <c r="H35" s="19"/>
      <c r="I35" s="19"/>
      <c r="J35" s="19"/>
    </row>
  </sheetData>
  <mergeCells count="24">
    <mergeCell ref="B2:C4"/>
    <mergeCell ref="D2:H2"/>
    <mergeCell ref="I2:J2"/>
    <mergeCell ref="D3:H4"/>
    <mergeCell ref="I3:J3"/>
    <mergeCell ref="B6:J6"/>
    <mergeCell ref="B19:D19"/>
    <mergeCell ref="B21:J21"/>
    <mergeCell ref="C22:D22"/>
    <mergeCell ref="C23:D23"/>
    <mergeCell ref="C24:D24"/>
    <mergeCell ref="C25:D25"/>
    <mergeCell ref="C26:D26"/>
    <mergeCell ref="B28:J28"/>
    <mergeCell ref="B29:D29"/>
    <mergeCell ref="E29:J29"/>
    <mergeCell ref="B30:D30"/>
    <mergeCell ref="E30:J30"/>
    <mergeCell ref="B31:J31"/>
    <mergeCell ref="B33:J33"/>
    <mergeCell ref="B34:D34"/>
    <mergeCell ref="E34:J34"/>
    <mergeCell ref="B35:D35"/>
    <mergeCell ref="E35:J35"/>
  </mergeCells>
  <conditionalFormatting sqref="E30">
    <cfRule type="expression" priority="2" aboveAverage="0" equalAverage="0" bottom="0" percent="0" rank="0" text="" dxfId="3">
      <formula>LEFT(E30,2)="NO"</formula>
    </cfRule>
    <cfRule type="expression" priority="3" aboveAverage="0" equalAverage="0" bottom="0" percent="0" rank="0" text="" dxfId="4">
      <formula>E30="DEFICIENTE"</formula>
    </cfRule>
    <cfRule type="expression" priority="4" aboveAverage="0" equalAverage="0" bottom="0" percent="0" rank="0" text="" dxfId="5">
      <formula>E30="ACEPTABLE CON OBSERVACIONES"</formula>
    </cfRule>
    <cfRule type="expression" priority="5" aboveAverage="0" equalAverage="0" bottom="0" percent="0" rank="0" text="" dxfId="6">
      <formula>E30="SATISFACTORIO"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2026-10-26T21:07:59Z</dcterms:created>
  <dc:creator>openpyxl</dc:creator>
  <dc:description/>
  <dc:language>en-US</dc:language>
  <cp:lastModifiedBy/>
  <dcterms:modified xsi:type="dcterms:W3CDTF">2026-10-26T21:07:59Z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