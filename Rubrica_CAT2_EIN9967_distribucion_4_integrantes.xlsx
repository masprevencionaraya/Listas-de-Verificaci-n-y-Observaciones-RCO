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stribución 4 integrantes" sheetId="1" state="visible" r:id="rId3"/>
    <sheet name="Rubrica CAT_2"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<sst xmlns="http://schemas.openxmlformats.org/spreadsheetml/2006/main" count="172" uniqueCount="124">
  <si>
    <t xml:space="preserve">DISTRIBUCIÓN DEL TRABAJO — RÚBRICA CÁTEDRA 2 (EIN 9967)</t>
  </si>
  <si>
    <t xml:space="preserve">Escriba los nombres en las celdas amarillas (D5:D8). Para reasignar un ítem, cambie el N° de integrante en la columna E de la tabla (celdas amarillas).</t>
  </si>
  <si>
    <t xml:space="preserve">N°</t>
  </si>
  <si>
    <t xml:space="preserve">Rol sugerido</t>
  </si>
  <si>
    <t xml:space="preserve">Nombre del integrante</t>
  </si>
  <si>
    <t xml:space="preserve">Puntaje asignado (de 100)</t>
  </si>
  <si>
    <t xml:space="preserve">Metodología: recolección y fuentes</t>
  </si>
  <si>
    <t xml:space="preserve">Integrante 1</t>
  </si>
  <si>
    <t xml:space="preserve">Metodología: procesamiento + editor/a final</t>
  </si>
  <si>
    <t xml:space="preserve">Integrante 2</t>
  </si>
  <si>
    <t xml:space="preserve">Resultados y conclusiones</t>
  </si>
  <si>
    <t xml:space="preserve">Integrante 3</t>
  </si>
  <si>
    <t xml:space="preserve">Análisis estratégico y planificación</t>
  </si>
  <si>
    <t xml:space="preserve">Integrante 4</t>
  </si>
  <si>
    <t xml:space="preserve">Total</t>
  </si>
  <si>
    <t xml:space="preserve">Ítem de la rúbrica</t>
  </si>
  <si>
    <t xml:space="preserve">Pts máx.</t>
  </si>
  <si>
    <t xml:space="preserve">Integrante N°</t>
  </si>
  <si>
    <t xml:space="preserve">Responsable</t>
  </si>
  <si>
    <t xml:space="preserve">Qué debe desarrollar (según rúbrica)</t>
  </si>
  <si>
    <t xml:space="preserve">RECOLECCIÓN DE INFORMACIÓN</t>
  </si>
  <si>
    <t xml:space="preserve">Técnicas e instrumentos de recolección por objetivo (1 o 2), evidencia en cuerpo o anexos.</t>
  </si>
  <si>
    <t xml:space="preserve">GESTIÓN DE FUENTES Y REFERENCIAS</t>
  </si>
  <si>
    <t xml:space="preserve">Citas «Apellido del Autor (Año)» en todo el informe y listado de referencias pertinentes.</t>
  </si>
  <si>
    <t xml:space="preserve">INTEGRIDAD DE LA PROPUESTA</t>
  </si>
  <si>
    <t xml:space="preserve">Sustentabilidad y sellos valóricos del modelo educativo UDLA.</t>
  </si>
  <si>
    <t xml:space="preserve">PROCESAMIENTO DE LA INFORMACIÓN</t>
  </si>
  <si>
    <t xml:space="preserve">Técnicas de análisis disciplinar por objetivo (1 o 2), evidencia en cuerpo o anexos.</t>
  </si>
  <si>
    <t xml:space="preserve">FORMATO, ORTOGRAFÍA Y REDACCIÓN</t>
  </si>
  <si>
    <t xml:space="preserve">Revisión final: formato sin errores, ortografía y redacción, extensión ≤ 75 páginas sin anexos.</t>
  </si>
  <si>
    <t xml:space="preserve">ANÁLISIS Y PRESENTACIÓN DE RESULTADOS</t>
  </si>
  <si>
    <t xml:space="preserve">Resultados ordenados y detallados por objetivo, descubrimientos y problemas encontrados.</t>
  </si>
  <si>
    <t xml:space="preserve">CONCLUSIONES GENERAL Y POR OBJETIVOS</t>
  </si>
  <si>
    <t xml:space="preserve">Conclusiones por objetivo ligadas a los resultados y recomendaciones a la empresa.</t>
  </si>
  <si>
    <t xml:space="preserve">ANÁLISIS DE IMPACTO DE LA SOLUCIÓN PROPUESTA</t>
  </si>
  <si>
    <t xml:space="preserve">Impactos de la propuesta y riesgos para su implementación.</t>
  </si>
  <si>
    <t xml:space="preserve">PLAN DE ACCIÓN</t>
  </si>
  <si>
    <t xml:space="preserve">Actividades, secuencia y tiempos desde el diagnóstico hasta la presentación.</t>
  </si>
  <si>
    <t xml:space="preserve">PLAN Y CARTA GANTT PROYECTO</t>
  </si>
  <si>
    <t xml:space="preserve">Carta Gantt completa y actualizada, incluyendo reuniones obligatorias de seguimiento.</t>
  </si>
  <si>
    <t xml:space="preserve">Notas</t>
  </si>
  <si>
    <t xml:space="preserve">• Criterio de reparto: 25 puntos por integrante y temas afines juntos, para que cada uno tenga una parte coherente del informe.</t>
  </si>
  <si>
    <t xml:space="preserve">• Resultados y conclusiones van juntos (integrante 3), porque las conclusiones deben salir de los resultados de cada objetivo.</t>
  </si>
  <si>
    <t xml:space="preserve">• El/la integrante 2 hace además la revisión final de formato, ortografía y extensión de todo el informe.</t>
  </si>
  <si>
    <t xml:space="preserve">• El puntaje máximo de cada ítem se toma de la hoja «Rubrica CAT_2» (columna «pts», texto verde).</t>
  </si>
  <si>
    <t xml:space="preserve">RÚBRICA DE EVALUACIÓN DE CÁTEDRA 2 Ingeniería Civil Industrial EIN 9967</t>
  </si>
  <si>
    <t xml:space="preserve">GRUPO No.</t>
  </si>
  <si>
    <t xml:space="preserve">Participantes:</t>
  </si>
  <si>
    <t xml:space="preserve">NOTA</t>
  </si>
  <si>
    <t xml:space="preserve">TÍTULO</t>
  </si>
  <si>
    <t xml:space="preserve">Ítems</t>
  </si>
  <si>
    <t xml:space="preserve">(71 - 100)</t>
  </si>
  <si>
    <t xml:space="preserve">(41 - 70)</t>
  </si>
  <si>
    <t xml:space="preserve">(11 - 40)</t>
  </si>
  <si>
    <t xml:space="preserve">(0 - 10)</t>
  </si>
  <si>
    <t xml:space="preserve">pts</t>
  </si>
  <si>
    <t xml:space="preserve">CAPÍTULO III:             METODOLOGIA</t>
  </si>
  <si>
    <t xml:space="preserve">BASES METODOLOGICAS</t>
  </si>
  <si>
    <t xml:space="preserve">RECOLECCION DE INFORMACION</t>
  </si>
  <si>
    <t xml:space="preserve">Describe claramente para cada Objetivo
- Todas las técnicas e instrumentos de recolección seleccionadas (1 o 2 por Objetivo)
- La evidencia (ya sea en cuerpo del informe o en anexos) de toda la información recolectada y los instrumentos utilizados.</t>
  </si>
  <si>
    <t xml:space="preserve">Describe parcialmente para cada Objetivo
- Todas las técnicas e instrumentos de recolección seleccionadas (1 o 2 por Objetivo)
- La evidencia (ya sea en cuerpo del informe o en anexos) de la mayor parte de la información recolectada y los instrumentos utilizados.
</t>
  </si>
  <si>
    <t xml:space="preserve">Describe escasamente o en forma ambigua para cada Objetivo
- Algunas de las técnicas e instrumentos de recolección seleccionadas (1 o 2 por Objetivo)
- La evidencia (ya sea en cuerpo del informe o en anexos) de parte de la información recolectada y los instrumentos utilizados.
</t>
  </si>
  <si>
    <t xml:space="preserve">Describe para cada Objetivo
- Las técnicas e instrumentos de recolección seleccionadas (1 o 2 por Objetivo)
- La evidencia (ya sea en cuerpo del informe o en anexos) de la información recolectada y los instrumentos utilizados.
</t>
  </si>
  <si>
    <t xml:space="preserve">Puntaje</t>
  </si>
  <si>
    <t xml:space="preserve">(Entre 13 y 15 pts)</t>
  </si>
  <si>
    <t xml:space="preserve">(Entre 9 y 12 pts)</t>
  </si>
  <si>
    <t xml:space="preserve">(Entre 4 y 8 pts)</t>
  </si>
  <si>
    <t xml:space="preserve">(Entre 0 y 3 pts)</t>
  </si>
  <si>
    <t xml:space="preserve">PROCESAMIENTO DE LA INFORMACION</t>
  </si>
  <si>
    <t xml:space="preserve">Describe claramente para cada Objetivo
- Todas las técnicas del análisis disciplinar utilizadas (1 o 2 por Objetivo)
- La evidencia (ya sea en cuerpo del informe o en anexos) de toda la información procesada y las técnicas disciplinares utilizadas.
- Se plantean y analizan al menos 3 alternativas de solución al problema planteado por el proyecto.</t>
  </si>
  <si>
    <t xml:space="preserve">Describe parcialmente para cada Objetivo
- Todas las técnicas del análisis disciplinar utilizadas (1 o 2 por Objetivo)
- La evidencia (ya sea en cuerpo del informe o en anexos) de la mayor parte de la información procesada y las técnicas disciplinares utilizadas.
- Se plantean y analizan al menos 2 alternativas de solución al problema planteado por el proyecto.</t>
  </si>
  <si>
    <t xml:space="preserve">Describe escasamente o en forma ambigua para cada Objetivo
- Algunas de las técnicas del análisis disciplinar utilizadas (1 o 2 por Objetivo)
- La evidencia (ya sea en cuerpo del informe o en anexos) de parte de la información procesada y las técnicas disciplinares utilizadas.
- Se plantean y analizan al menos 1 alternativa de solución al problema planteado por el proyecto.</t>
  </si>
  <si>
    <t xml:space="preserve">Describe claramente para cada Objetivo
- Las técnicas del análisis disciplinar utilizadas (1 o 2 por Objetivo)
- La evidencia (ya sea en cuerpo del informe o en anexos) de la información procesada y las técnicas disciplinares utilizadas.
- NO se plantean alternativas de solución al proyecto.</t>
  </si>
  <si>
    <t xml:space="preserve">ANALISIS Y PRESENTACIÓN DE RESULTADOS</t>
  </si>
  <si>
    <t xml:space="preserve">- Precisa los resultados en forma ordenada y detallada para cada uno de los objetivos del proyecto. 
- Indica los principales descubrimientos y problemas encontrados, asi como la forma en que fiueron abordados.</t>
  </si>
  <si>
    <t xml:space="preserve">- Precisa los resultados de forma poco ordenada y con escaso detalle necesario para cada uno de los objetivos del proyecto. 
- Indica de manera incompleta principales descubrimientos o problemas encontrados, asi como la forma en que fiueron abordados.</t>
  </si>
  <si>
    <t xml:space="preserve">- Precisa los resultados de forma desordenada y sin el detalle necesario por cada uno de los objetivos del proyecto. 
- No indica principales descubrimientos y problemas encontrados, asi como la forma en que fiueron abordados.</t>
  </si>
  <si>
    <t xml:space="preserve">- No precisa los resultados por cada uno de los objetivos del proyecto. 
- No indica principales descubrimientos y problemas encontrados, asi como la forma en que fiueron abordados.</t>
  </si>
  <si>
    <t xml:space="preserve">ANALISIS ESTRATEGICO</t>
  </si>
  <si>
    <t xml:space="preserve">ANALISIS DE IMPACTO DE LA SOLUCION PROPUESTA</t>
  </si>
  <si>
    <t xml:space="preserve">Presenta un análisis detallado de :
- Los impactos que tendra la propuesta en la solución del problema 
- Los riesgos para la implementación de la solución y el plan de control de los mismos.
- Los aspectos del  desarrollo sustentable del proyecto que permiten levantar elementos deseados e indeseados relevantes, requeridos para una  implementación viable.
Supone que todos los puntos fueron abortados en forma detallada.</t>
  </si>
  <si>
    <t xml:space="preserve">Presenta un análisis parcial de :
- Los impactos que tendra la propuesta en la solución del problema 
- Los riesgos para la implementación de la solución y el plan de control de los mismos.
- Los aspectos del  desarrollo sustentable del proyecto que permiten levantar elementos deseados e indeseados relevantes, requeridos para una  implementación viable.
Supone que aunque en forma incompleta, se abordan los 3 puntos descritos.</t>
  </si>
  <si>
    <t xml:space="preserve">Presenta un análisis básico de :
- Los impactos que tendra la propuesta en la solución del problema 
- Los riesgos para la implementación de la solución y el plan de control de los mismos.
- Los aspectos del  desarrollo sustentable del proyecto que permiten levantar elementos deseados e indeseados relevantes, requeridos para una  implementación viable.
Supone que alguno de los puntos pudo no haber sido abortado.</t>
  </si>
  <si>
    <t xml:space="preserve">No Presenta un análisis de :
- Los impactos que tendra la propuesta en la solución del problema 
- Los riesgos para la implementación de la solución y el plan de control de los mismos.
- Los aspectos del  desarrollo sustentable del proyecto que permiten levantar elementos deseados e indeseados relevantes, requeridos para una  implementación viable.
Supone que no presenta ninguno de los puntos solicitados o su desarrollo en muy deficiente..
</t>
  </si>
  <si>
    <t xml:space="preserve">(Entre 9 y 10 pts)</t>
  </si>
  <si>
    <t xml:space="preserve">(Entre 6 y 8 pts)</t>
  </si>
  <si>
    <t xml:space="preserve">(Entre 3 y 5 pts)</t>
  </si>
  <si>
    <t xml:space="preserve">(Entre 0 y 2 pts)</t>
  </si>
  <si>
    <t xml:space="preserve">PLAN DE IMPLEMENTACION</t>
  </si>
  <si>
    <t xml:space="preserve">- El tiempo estipulado para para cada actividad es pertinente con la naturaleza de la tarea, considerando desde el diagnostico hasta la presentación de las soluciones. 
- Los recursos asociados a las actividades (humanos, materiales y económicos) son pertinentes y suficientes para cada actividad.</t>
  </si>
  <si>
    <t xml:space="preserve">- El tiempo estipulado para para cada actividad es pertinente con la naturaleza de la tarea, considerando desde el diagnostico hasta la presentación de las soluciones, pero en la secuencia de tareas no se aplica la organización establecida para el proyecto. 
- Los recursos asociados a las actividades (humanos, materiales y económicos) son pertinentes a las  necesidad de las actividades pero en ocasiones no son suficientes para su ejecución</t>
  </si>
  <si>
    <t xml:space="preserve">- El tiempo estipulado para las actividades es insuficiente o demasiado en relación a la naturaleza de la tarea, en la secuencia de tareas no se aplica la organización establecida para el proyecto. 
- Los recursos asociados a las actividades (humanos, materiales y económicos) no son pertinentes ni suficientes en relación a las necesidades del proyecto</t>
  </si>
  <si>
    <t xml:space="preserve">- El tiempo estipulado para las actividades es insuficiente o demasiado en relación a la naturaleza de la tarea, el detalle de las actividades asociadas no permite visibilizar la organización secuencial y efectiva del tiempo. 
- La planificación no considera todos los tipos de recursos necesarios para cada actividad.</t>
  </si>
  <si>
    <t xml:space="preserve">CAPÍTULO IV:             CONCLUSIONES</t>
  </si>
  <si>
    <t xml:space="preserve">CONCLUSIONES DEL PROYECTO</t>
  </si>
  <si>
    <t xml:space="preserve">- Las conclusiones de cada objetivo tienen una excelente relación con el resultado de la técnica disciplinar.
- Presenta recomendaciones relevantes a la empresa como producto del desarrollo del proyecto.</t>
  </si>
  <si>
    <t xml:space="preserve">- Las conclusiones de cada objetivo tienen una buena relación con el resultado de la técnica disciplinar.
- Presenta recomendaciones a la empresa como producto del desarrollo del proyecto, pero no se aprecia que sean relevantes.</t>
  </si>
  <si>
    <t xml:space="preserve">- Las conclusiones de cada objetivo tienen una baja relación con el resultado de la técnica disciplinar.
- No presenta recomendaciones a la empresa como producto del desarrollo del proyecto.</t>
  </si>
  <si>
    <t xml:space="preserve">- Las conclusiones de cada objetivo no tienen relación con el resultado de la técnica disciplinar.
- No presenta recomendaciones a la empresa como producto del desarrollo del proyecto.</t>
  </si>
  <si>
    <t xml:space="preserve">El proyecto considera en su totalidad aspectos tales como la sustentantibilidad y los sellos valóricos del modelo educativo UDLA.</t>
  </si>
  <si>
    <t xml:space="preserve">El proyecto considera la mayoría de aspectos tales como la sustentantibilidad y los sellos valóricos del modelo educativo UDLA..</t>
  </si>
  <si>
    <t xml:space="preserve">El proyecto considera algunos de los aspectos tales como la sustentantibilidad y los sellos valóricos del modelo educativo UDLA.</t>
  </si>
  <si>
    <t xml:space="preserve">El proyecto no considera o tiene baja presencia de algunos aspectos tales como la sustentantibilidad y los sellos valóricos del modelo educativo UDLA..</t>
  </si>
  <si>
    <t xml:space="preserve">(5 pts)</t>
  </si>
  <si>
    <t xml:space="preserve">(4 pts)</t>
  </si>
  <si>
    <t xml:space="preserve">(Entre 2 y 3 pts)</t>
  </si>
  <si>
    <t xml:space="preserve">(Entre 0 y 1 pts)</t>
  </si>
  <si>
    <t xml:space="preserve">REFERENCIAS BIBLIOGRÁFICAS</t>
  </si>
  <si>
    <t xml:space="preserve">- Muestra de manera correcta las fuentes consultadas "Apellido del Autor (Año)" a lo largo del informe. Se refleja el uso de referencias bibliográficas pertinentes al enfoque seleccionado y estan actualizadas (no mayor de 10 años). 
- Emplea con rigor la norma APA para la cita y para reflejar las referencias al final del trabajo. 
- Todas las fuentes citadas se reflejan en las referencias bibliográficas.
- Todas las referencias bibilograficas se encuentran citadas al menos una vez en el documento.</t>
  </si>
  <si>
    <t xml:space="preserve">- Muestra las fuentes consultadas en el informe, sin considerar una norma estandar. 
- Se refleja el uso de referencias bibliográficas con poca pertinencia con el enfoque seleccionado y estan poco actualizadas (mayor de 10 años). 
- Emplea la norma APA para las citas y refleja las referencias al final del trabajo sin considerar todas las espeificaciones.
- Al menos 1 las fuentes citadas no  se reflejan en las referencias bibliográficas.
- Al menos 1 de las referencias bibilograficas se encuentran citadas al menos una vez en el documento.</t>
  </si>
  <si>
    <t xml:space="preserve">- Muestra algunas fuentes consultadas en el informe, pero no considera ninguna norma. 
- Se refleja el uso de referencias bibliográficas no pertinentes con el enfoque seleccionado y estan desactualizadas (mayor de 20 años). 
- Emplea la norma APA sin cuidar especificaciones para las citas. 
- Al menos 2 de las fuentes citadas no se indican en las referencias bibliográficas
- Al menos 2 de las referencias bibilograficas se encuentran citadas al menos una vez en el documento.</t>
  </si>
  <si>
    <t xml:space="preserve">- No muestra ninguna fuente consultada a lo largo del informe. 
- Se refleja el uso de referencias bibliográficas no pertinentes con el enfoque seleccionado y desactualizadas (mayor de 20 años). 
- No emplea la norma APA para las citas. 
- No se indican las fuentes citadas en las referencias bibliográficas.
- No se muestran referencias bibilograficas que se encuentran citadas al menos una vez en el documento.</t>
  </si>
  <si>
    <t xml:space="preserve">PLANIFICACION DEL PROYECTO</t>
  </si>
  <si>
    <t xml:space="preserve">- Plan de trabajo completo y actualizado (carta gantt), o
- Se cumple con plan exigido (0 fallas) y incluyendo las reuniones obligatorias de seguimiento con el Profesor Guia. 
</t>
  </si>
  <si>
    <t xml:space="preserve">- Plan de trabajo completo y no actualizado (carta gantt), o
- Se cumple con plan exigido (0 fallas) incluyendo las reuniones obligatorias de seguimiento con el Profesor Guia. 
</t>
  </si>
  <si>
    <t xml:space="preserve">- Plan de trabajo incompleto y no actualizado (carta gantt), o
- No se cumple con plan exigido (1 o 2 fallas) incluyendo las reuniones obligatorias de seguimiento con el Profesor Guia. 
</t>
  </si>
  <si>
    <t xml:space="preserve">- No se presenta plan de trabajo (carta gantt), o
- No se cumple con plan exigido (más de 2 fallas) incluyendo las reuniones obligatorias de seguimiento con el Profesor Guia. 
</t>
  </si>
  <si>
    <t xml:space="preserve">CUMPLIMEINTO DE FORMATO Y PRESENTACIÓN</t>
  </si>
  <si>
    <t xml:space="preserve">CORRECCION ORTOTIPOGRÁFICA Y ESTILO</t>
  </si>
  <si>
    <t xml:space="preserve">FORMATO, ORTOGRAFIA Y REDACCION</t>
  </si>
  <si>
    <t xml:space="preserve">- Formato 100% (sin errores)
- Ortografia y redacción(sin errores)
- Extensión del informe ( sin anexos): 75 paginas</t>
  </si>
  <si>
    <t xml:space="preserve">- Formato (Entre 1 y 3 errores), o
- Ortografia y redacción (Entre 1 y 3 errores) 
- Extensión del informe ( sin anexos) esta entre 76 y 80 paginas
</t>
  </si>
  <si>
    <t xml:space="preserve">- Formato (Entre 4 y 6 errores), o
- Ortografia y redacción (Entre 4 y 6 errores) 
- Extensión del informe ( sin anexos) esta entre 81 y 85 paginas</t>
  </si>
  <si>
    <t xml:space="preserve">- Formato (7 o más errores), o
- Ortografia y redacción (7 o más errores) 
- Extensión del informe ( sin anexos) supera las  85 paginas</t>
  </si>
</sst>
</file>

<file path=xl/styles.xml><?xml version="1.0" encoding="utf-8"?>
<styleSheet xmlns="http://schemas.openxmlformats.org/spreadsheetml/2006/main">
  <numFmts count="2">
    <numFmt numFmtId="164" formatCode="General"/>
    <numFmt numFmtId="165" formatCode="General"/>
  </numFmts>
  <fonts count="22">
    <font>
      <sz val="11"/>
      <color theme="1"/>
      <name val="Aptos Narrow"/>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1"/>
      <color rgb="FFFFFFFF"/>
      <name val="Arial"/>
      <family val="0"/>
      <charset val="1"/>
    </font>
    <font>
      <b val="true"/>
      <sz val="11"/>
      <name val="Arial"/>
      <family val="0"/>
      <charset val="1"/>
    </font>
    <font>
      <sz val="11"/>
      <name val="Arial"/>
      <family val="0"/>
      <charset val="1"/>
    </font>
    <font>
      <sz val="11"/>
      <color rgb="FF0000FF"/>
      <name val="Arial"/>
      <family val="0"/>
      <charset val="1"/>
    </font>
    <font>
      <sz val="10"/>
      <name val="Arial"/>
      <family val="0"/>
      <charset val="1"/>
    </font>
    <font>
      <sz val="10"/>
      <color rgb="FF008000"/>
      <name val="Arial"/>
      <family val="0"/>
      <charset val="1"/>
    </font>
    <font>
      <b val="true"/>
      <sz val="10"/>
      <color rgb="FF0000FF"/>
      <name val="Arial"/>
      <family val="0"/>
      <charset val="1"/>
    </font>
    <font>
      <sz val="9"/>
      <color rgb="FF404040"/>
      <name val="Arial"/>
      <family val="0"/>
      <charset val="1"/>
    </font>
    <font>
      <sz val="11"/>
      <color theme="1"/>
      <name val="Calibri"/>
      <family val="2"/>
      <charset val="1"/>
    </font>
    <font>
      <b val="true"/>
      <sz val="14"/>
      <color theme="1"/>
      <name val="Aptos Narrow"/>
      <family val="2"/>
      <charset val="1"/>
    </font>
    <font>
      <b val="true"/>
      <sz val="12"/>
      <color theme="1"/>
      <name val="Aptos Narrow"/>
      <family val="2"/>
      <charset val="1"/>
    </font>
    <font>
      <sz val="12"/>
      <color rgb="FF444444"/>
      <name val="Aptos Narrow"/>
      <family val="2"/>
      <charset val="1"/>
    </font>
    <font>
      <b val="true"/>
      <sz val="12"/>
      <color theme="1"/>
      <name val="Calibri"/>
      <family val="2"/>
      <charset val="1"/>
    </font>
    <font>
      <b val="true"/>
      <sz val="11"/>
      <color rgb="FF008000"/>
      <name val="Arial"/>
      <family val="0"/>
      <charset val="1"/>
    </font>
    <font>
      <sz val="11"/>
      <color rgb="FF000000"/>
      <name val="Aptos Narrow"/>
      <family val="2"/>
      <charset val="1"/>
    </font>
    <font>
      <sz val="11"/>
      <color rgb="FF000000"/>
      <name val="Calibri"/>
      <family val="2"/>
      <charset val="1"/>
    </font>
  </fonts>
  <fills count="11">
    <fill>
      <patternFill patternType="none"/>
    </fill>
    <fill>
      <patternFill patternType="gray125"/>
    </fill>
    <fill>
      <patternFill patternType="solid">
        <fgColor rgb="FF1F3864"/>
        <bgColor rgb="FF333399"/>
      </patternFill>
    </fill>
    <fill>
      <patternFill patternType="solid">
        <fgColor rgb="FFDDEBF7"/>
        <bgColor rgb="FFE2EFDA"/>
      </patternFill>
    </fill>
    <fill>
      <patternFill patternType="solid">
        <fgColor rgb="FFFFFF00"/>
        <bgColor rgb="FFFFFF00"/>
      </patternFill>
    </fill>
    <fill>
      <patternFill patternType="solid">
        <fgColor rgb="FFE2EFDA"/>
        <bgColor rgb="FFDDEBF7"/>
      </patternFill>
    </fill>
    <fill>
      <patternFill patternType="solid">
        <fgColor rgb="FFFFF2CC"/>
        <bgColor rgb="FFFCE4D6"/>
      </patternFill>
    </fill>
    <fill>
      <patternFill patternType="solid">
        <fgColor rgb="FFFCE4D6"/>
        <bgColor rgb="FFFFF2CC"/>
      </patternFill>
    </fill>
    <fill>
      <patternFill patternType="solid">
        <fgColor theme="0" tint="-0.25"/>
        <bgColor rgb="FFCCCCFF"/>
      </patternFill>
    </fill>
    <fill>
      <patternFill patternType="solid">
        <fgColor theme="0" tint="-0.05"/>
        <bgColor rgb="FFE2EFDA"/>
      </patternFill>
    </fill>
    <fill>
      <patternFill patternType="solid">
        <fgColor theme="0"/>
        <bgColor rgb="FFF2F2F2"/>
      </patternFill>
    </fill>
  </fills>
  <borders count="21">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right/>
      <top/>
      <bottom style="thin"/>
      <diagonal/>
    </border>
    <border diagonalUp="false" diagonalDown="false">
      <left style="thin"/>
      <right/>
      <top style="thin"/>
      <bottom/>
      <diagonal/>
    </border>
    <border diagonalUp="false" diagonalDown="false">
      <left/>
      <right style="thin"/>
      <top style="thin"/>
      <bottom/>
      <diagonal/>
    </border>
    <border diagonalUp="false" diagonalDown="false">
      <left style="thin"/>
      <right style="medium"/>
      <top style="medium"/>
      <bottom/>
      <diagonal/>
    </border>
    <border diagonalUp="false" diagonalDown="false">
      <left style="medium"/>
      <right style="medium"/>
      <top style="medium"/>
      <bottom/>
      <diagonal/>
    </border>
    <border diagonalUp="false" diagonalDown="false">
      <left style="medium"/>
      <right/>
      <top style="medium"/>
      <bottom/>
      <diagonal/>
    </border>
    <border diagonalUp="false" diagonalDown="false">
      <left style="medium"/>
      <right style="medium"/>
      <top style="medium"/>
      <bottom style="thin"/>
      <diagonal/>
    </border>
    <border diagonalUp="false" diagonalDown="false">
      <left style="medium"/>
      <right style="medium"/>
      <top style="medium"/>
      <bottom style="medium"/>
      <diagonal/>
    </border>
    <border diagonalUp="false" diagonalDown="false">
      <left style="medium"/>
      <right/>
      <top style="medium"/>
      <bottom style="thin"/>
      <diagonal/>
    </border>
    <border diagonalUp="false" diagonalDown="false">
      <left style="medium"/>
      <right style="medium"/>
      <top style="thin"/>
      <bottom style="thin"/>
      <diagonal/>
    </border>
    <border diagonalUp="false" diagonalDown="false">
      <left style="medium"/>
      <right style="medium"/>
      <top style="thin"/>
      <bottom/>
      <diagonal/>
    </border>
    <border diagonalUp="false" diagonalDown="false">
      <left style="medium"/>
      <right/>
      <top style="thin"/>
      <bottom style="medium"/>
      <diagonal/>
    </border>
    <border diagonalUp="false" diagonalDown="false">
      <left style="medium"/>
      <right/>
      <top/>
      <bottom style="thin"/>
      <diagonal/>
    </border>
    <border diagonalUp="false" diagonalDown="false">
      <left/>
      <right/>
      <top style="medium"/>
      <bottom style="thin"/>
      <diagonal/>
    </border>
    <border diagonalUp="false" diagonalDown="false">
      <left/>
      <right style="medium"/>
      <top/>
      <bottom/>
      <diagonal/>
    </border>
    <border diagonalUp="false" diagonalDown="false">
      <left style="medium"/>
      <right style="medium"/>
      <top/>
      <bottom style="thin"/>
      <diagonal/>
    </border>
    <border diagonalUp="false" diagonalDown="false">
      <left style="medium"/>
      <right/>
      <top style="medium"/>
      <bottom style="medium"/>
      <diagonal/>
    </border>
    <border diagonalUp="false" diagonalDown="false">
      <left style="medium"/>
      <right/>
      <top style="thin"/>
      <bottom/>
      <diagonal/>
    </border>
    <border diagonalUp="false" diagonalDown="false">
      <left style="medium"/>
      <right style="medium"/>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5" fontId="7" fillId="3"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5" fontId="7"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5" fontId="7" fillId="6"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xf numFmtId="165" fontId="7" fillId="7"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5" fontId="7" fillId="0" borderId="0"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5" fontId="11" fillId="0"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left" vertical="center" textRotation="0" wrapText="true" indent="0" shrinkToFit="false"/>
      <protection locked="true" hidden="false"/>
    </xf>
    <xf numFmtId="164" fontId="10" fillId="5" borderId="1" xfId="0" applyFont="true" applyBorder="true" applyAlignment="true" applyProtection="false">
      <alignment horizontal="left" vertical="center" textRotation="0" wrapText="tru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xf numFmtId="164" fontId="10" fillId="7" borderId="1" xfId="0" applyFont="true" applyBorder="true" applyAlignment="true" applyProtection="false">
      <alignment horizontal="left" vertical="center" textRotation="0" wrapText="tru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left"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17" fillId="0" borderId="2"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center" vertical="center" textRotation="0" wrapText="false" indent="0" shrinkToFit="false"/>
      <protection locked="true" hidden="false"/>
    </xf>
    <xf numFmtId="164" fontId="16" fillId="0" borderId="2" xfId="0" applyFont="true" applyBorder="true" applyAlignment="true" applyProtection="false">
      <alignment horizontal="center" vertical="center" textRotation="0" wrapText="true" indent="0" shrinkToFit="false"/>
      <protection locked="true" hidden="false"/>
    </xf>
    <xf numFmtId="164" fontId="14" fillId="0" borderId="3" xfId="0" applyFont="true" applyBorder="true" applyAlignment="true" applyProtection="false">
      <alignment horizontal="center" vertical="center" textRotation="0" wrapText="false" indent="0" shrinkToFit="false"/>
      <protection locked="true" hidden="false"/>
    </xf>
    <xf numFmtId="164" fontId="14" fillId="0" borderId="4" xfId="0" applyFont="true" applyBorder="true" applyAlignment="true" applyProtection="false">
      <alignment horizontal="center" vertical="center" textRotation="0" wrapText="false" indent="0" shrinkToFit="false"/>
      <protection locked="true" hidden="false"/>
    </xf>
    <xf numFmtId="164" fontId="16" fillId="8" borderId="5" xfId="0" applyFont="true" applyBorder="true" applyAlignment="true" applyProtection="false">
      <alignment horizontal="center" vertical="center" textRotation="0" wrapText="false" indent="0" shrinkToFit="false"/>
      <protection locked="true" hidden="false"/>
    </xf>
    <xf numFmtId="164" fontId="16" fillId="8" borderId="6" xfId="0" applyFont="true" applyBorder="true" applyAlignment="true" applyProtection="false">
      <alignment horizontal="center" vertical="center" textRotation="0" wrapText="false" indent="0" shrinkToFit="false"/>
      <protection locked="true" hidden="false"/>
    </xf>
    <xf numFmtId="164" fontId="16" fillId="8" borderId="7" xfId="0" applyFont="true" applyBorder="true" applyAlignment="true" applyProtection="false">
      <alignment horizontal="center" vertical="center" textRotation="0" wrapText="false" indent="0" shrinkToFit="false"/>
      <protection locked="true" hidden="false"/>
    </xf>
    <xf numFmtId="164" fontId="0" fillId="8" borderId="8" xfId="0" applyFont="true" applyBorder="true" applyAlignment="true" applyProtection="false">
      <alignment horizontal="center" vertical="center" textRotation="0" wrapText="false" indent="0" shrinkToFit="false"/>
      <protection locked="true" hidden="false"/>
    </xf>
    <xf numFmtId="164" fontId="18" fillId="9" borderId="9" xfId="0" applyFont="true" applyBorder="true" applyAlignment="true" applyProtection="false">
      <alignment horizontal="center" vertical="center" textRotation="0" wrapText="true" indent="0" shrinkToFit="false"/>
      <protection locked="true" hidden="false"/>
    </xf>
    <xf numFmtId="164" fontId="16" fillId="9" borderId="10" xfId="0" applyFont="true" applyBorder="true" applyAlignment="true" applyProtection="false">
      <alignment horizontal="center" vertical="center" textRotation="0" wrapText="true" indent="0" shrinkToFit="false"/>
      <protection locked="true" hidden="false"/>
    </xf>
    <xf numFmtId="164" fontId="0" fillId="9" borderId="8" xfId="0" applyFont="true" applyBorder="true" applyAlignment="true" applyProtection="false">
      <alignment horizontal="left" vertical="top" textRotation="0" wrapText="true" indent="0" shrinkToFit="false"/>
      <protection locked="true" hidden="false"/>
    </xf>
    <xf numFmtId="164" fontId="0" fillId="9" borderId="11" xfId="0" applyFont="true" applyBorder="true" applyAlignment="true" applyProtection="false">
      <alignment horizontal="center" vertical="center" textRotation="0" wrapText="false" indent="0" shrinkToFit="false"/>
      <protection locked="true" hidden="false"/>
    </xf>
    <xf numFmtId="164" fontId="19" fillId="3" borderId="1" xfId="0" applyFont="true" applyBorder="true" applyAlignment="true" applyProtection="false">
      <alignment horizontal="center" vertical="center" textRotation="0" wrapText="true" indent="0" shrinkToFit="false"/>
      <protection locked="true" hidden="false"/>
    </xf>
    <xf numFmtId="164" fontId="16" fillId="8" borderId="12" xfId="0" applyFont="true" applyBorder="true" applyAlignment="true" applyProtection="false">
      <alignment horizontal="center" vertical="center" textRotation="0" wrapText="true" indent="0" shrinkToFit="false"/>
      <protection locked="true" hidden="false"/>
    </xf>
    <xf numFmtId="164" fontId="20" fillId="8" borderId="13" xfId="0" applyFont="true" applyBorder="true" applyAlignment="true" applyProtection="false">
      <alignment horizontal="center" vertical="top" textRotation="0" wrapText="true" indent="0" shrinkToFit="false"/>
      <protection locked="true" hidden="false"/>
    </xf>
    <xf numFmtId="164" fontId="21" fillId="8" borderId="13" xfId="0" applyFont="true" applyBorder="true" applyAlignment="true" applyProtection="false">
      <alignment horizontal="center" vertical="top" textRotation="0" wrapText="true" indent="0" shrinkToFit="false"/>
      <protection locked="true" hidden="false"/>
    </xf>
    <xf numFmtId="164" fontId="16" fillId="0" borderId="10" xfId="0" applyFont="true" applyBorder="true" applyAlignment="true" applyProtection="false">
      <alignment horizontal="center" vertical="center" textRotation="0" wrapText="true" indent="0" shrinkToFit="false"/>
      <protection locked="true" hidden="false"/>
    </xf>
    <xf numFmtId="164" fontId="0" fillId="0" borderId="8" xfId="0" applyFont="true" applyBorder="true" applyAlignment="true" applyProtection="false">
      <alignment horizontal="left" vertical="top" textRotation="0" wrapText="true" indent="0" shrinkToFit="false"/>
      <protection locked="true" hidden="false"/>
    </xf>
    <xf numFmtId="164" fontId="0" fillId="0" borderId="11" xfId="0" applyFont="true" applyBorder="true" applyAlignment="true" applyProtection="false">
      <alignment horizontal="center" vertical="center" textRotation="0" wrapText="false" indent="0" shrinkToFit="false"/>
      <protection locked="true" hidden="false"/>
    </xf>
    <xf numFmtId="164" fontId="19" fillId="5" borderId="1" xfId="0" applyFont="true" applyBorder="true" applyAlignment="true" applyProtection="false">
      <alignment horizontal="center" vertical="center" textRotation="0" wrapText="true" indent="0" shrinkToFit="false"/>
      <protection locked="true" hidden="false"/>
    </xf>
    <xf numFmtId="164" fontId="21" fillId="9" borderId="8" xfId="0" applyFont="true" applyBorder="true" applyAlignment="true" applyProtection="false">
      <alignment horizontal="left" vertical="top" textRotation="0" wrapText="true" indent="0" shrinkToFit="false"/>
      <protection locked="true" hidden="false"/>
    </xf>
    <xf numFmtId="164" fontId="14" fillId="9" borderId="8" xfId="0" applyFont="true" applyBorder="true" applyAlignment="true" applyProtection="false">
      <alignment horizontal="left" vertical="top" textRotation="0" wrapText="true" indent="0" shrinkToFit="false"/>
      <protection locked="true" hidden="false"/>
    </xf>
    <xf numFmtId="164" fontId="19" fillId="6" borderId="1" xfId="0" applyFont="true" applyBorder="true" applyAlignment="true" applyProtection="false">
      <alignment horizontal="center" vertical="center" textRotation="0" wrapText="true" indent="0" shrinkToFit="false"/>
      <protection locked="true" hidden="false"/>
    </xf>
    <xf numFmtId="164" fontId="18" fillId="0" borderId="9" xfId="0" applyFont="true" applyBorder="true" applyAlignment="true" applyProtection="false">
      <alignment horizontal="center" vertical="center" textRotation="0" wrapText="true" indent="0" shrinkToFit="false"/>
      <protection locked="true" hidden="false"/>
    </xf>
    <xf numFmtId="164" fontId="21" fillId="0" borderId="8" xfId="0" applyFont="true" applyBorder="true" applyAlignment="true" applyProtection="false">
      <alignment horizontal="left" vertical="top" textRotation="0" wrapText="true" indent="0" shrinkToFit="false"/>
      <protection locked="true" hidden="false"/>
    </xf>
    <xf numFmtId="164" fontId="19" fillId="7" borderId="1" xfId="0" applyFont="true" applyBorder="true" applyAlignment="true" applyProtection="false">
      <alignment horizontal="center" vertical="center" textRotation="0" wrapText="true" indent="0" shrinkToFit="false"/>
      <protection locked="true" hidden="false"/>
    </xf>
    <xf numFmtId="164" fontId="18" fillId="9" borderId="6" xfId="0" applyFont="true" applyBorder="true" applyAlignment="true" applyProtection="false">
      <alignment horizontal="center" vertical="center" textRotation="0" wrapText="true" indent="0" shrinkToFit="false"/>
      <protection locked="true" hidden="false"/>
    </xf>
    <xf numFmtId="164" fontId="21" fillId="9" borderId="2" xfId="0" applyFont="true" applyBorder="true" applyAlignment="true" applyProtection="false">
      <alignment horizontal="left" vertical="top" textRotation="0" wrapText="true" indent="0" shrinkToFit="false"/>
      <protection locked="true" hidden="false"/>
    </xf>
    <xf numFmtId="164" fontId="20" fillId="9" borderId="10" xfId="0" applyFont="true" applyBorder="true" applyAlignment="true" applyProtection="false">
      <alignment horizontal="left" vertical="top" textRotation="0" wrapText="true" indent="0" shrinkToFit="false"/>
      <protection locked="true" hidden="false"/>
    </xf>
    <xf numFmtId="164" fontId="21" fillId="9" borderId="10" xfId="0" applyFont="true" applyBorder="true" applyAlignment="true" applyProtection="false">
      <alignment horizontal="left" vertical="top" textRotation="0" wrapText="true" indent="0" shrinkToFit="false"/>
      <protection locked="true" hidden="false"/>
    </xf>
    <xf numFmtId="164" fontId="18" fillId="0" borderId="6" xfId="0" applyFont="true" applyBorder="true" applyAlignment="true" applyProtection="false">
      <alignment horizontal="center" vertical="center" textRotation="0" wrapText="true" indent="0" shrinkToFit="false"/>
      <protection locked="true" hidden="false"/>
    </xf>
    <xf numFmtId="164" fontId="21" fillId="10" borderId="8" xfId="0" applyFont="true" applyBorder="true" applyAlignment="true" applyProtection="false">
      <alignment horizontal="left" vertical="top" textRotation="0" wrapText="true" indent="0" shrinkToFit="false"/>
      <protection locked="true" hidden="false"/>
    </xf>
    <xf numFmtId="164" fontId="20" fillId="0" borderId="14" xfId="0" applyFont="true" applyBorder="true" applyAlignment="true" applyProtection="false">
      <alignment horizontal="left" vertical="top" textRotation="0" wrapText="true" indent="0" shrinkToFit="false"/>
      <protection locked="true" hidden="false"/>
    </xf>
    <xf numFmtId="164" fontId="21" fillId="0" borderId="14" xfId="0" applyFont="true" applyBorder="true" applyAlignment="true" applyProtection="false">
      <alignment horizontal="left" vertical="top" textRotation="0" wrapText="true" indent="0" shrinkToFit="false"/>
      <protection locked="true" hidden="false"/>
    </xf>
    <xf numFmtId="164" fontId="21" fillId="9" borderId="15" xfId="0" applyFont="true" applyBorder="true" applyAlignment="true" applyProtection="false">
      <alignment horizontal="left" vertical="top" textRotation="0" wrapText="true" indent="0" shrinkToFit="false"/>
      <protection locked="true" hidden="false"/>
    </xf>
    <xf numFmtId="164" fontId="18" fillId="0" borderId="16" xfId="0" applyFont="true" applyBorder="true" applyAlignment="true" applyProtection="false">
      <alignment horizontal="center" vertical="center" textRotation="0" wrapText="true" indent="0" shrinkToFit="false"/>
      <protection locked="true" hidden="false"/>
    </xf>
    <xf numFmtId="164" fontId="16" fillId="0" borderId="17" xfId="0" applyFont="true" applyBorder="true" applyAlignment="true" applyProtection="false">
      <alignment horizontal="center" vertical="center" textRotation="0" wrapText="true" indent="0" shrinkToFit="false"/>
      <protection locked="true" hidden="false"/>
    </xf>
    <xf numFmtId="164" fontId="20" fillId="10" borderId="14" xfId="0" applyFont="true" applyBorder="true" applyAlignment="true" applyProtection="false">
      <alignment horizontal="left" vertical="top" textRotation="0" wrapText="true" indent="0" shrinkToFit="false"/>
      <protection locked="true" hidden="false"/>
    </xf>
    <xf numFmtId="164" fontId="18" fillId="9" borderId="18" xfId="0" applyFont="true" applyBorder="true" applyAlignment="true" applyProtection="false">
      <alignment horizontal="center" vertical="center" textRotation="0" wrapText="true" indent="0" shrinkToFit="false"/>
      <protection locked="true" hidden="false"/>
    </xf>
    <xf numFmtId="164" fontId="16" fillId="9" borderId="8" xfId="0" applyFont="true" applyBorder="true" applyAlignment="true" applyProtection="false">
      <alignment horizontal="center" vertical="center" textRotation="0" wrapText="true" indent="0" shrinkToFit="false"/>
      <protection locked="true" hidden="false"/>
    </xf>
    <xf numFmtId="164" fontId="0" fillId="0" borderId="10" xfId="0" applyFont="true" applyBorder="true" applyAlignment="true" applyProtection="false">
      <alignment horizontal="left" vertical="top" textRotation="0" wrapText="true" indent="0" shrinkToFit="false"/>
      <protection locked="true" hidden="false"/>
    </xf>
    <xf numFmtId="164" fontId="20" fillId="8" borderId="19" xfId="0" applyFont="true" applyBorder="true" applyAlignment="true" applyProtection="false">
      <alignment horizontal="center" vertical="top" textRotation="0" wrapText="true" indent="0" shrinkToFit="false"/>
      <protection locked="true" hidden="false"/>
    </xf>
    <xf numFmtId="164" fontId="21" fillId="8" borderId="19" xfId="0" applyFont="true" applyBorder="true" applyAlignment="true" applyProtection="false">
      <alignment horizontal="center" vertical="top" textRotation="0" wrapText="true" indent="0" shrinkToFit="false"/>
      <protection locked="true" hidden="false"/>
    </xf>
    <xf numFmtId="164" fontId="16" fillId="0" borderId="8" xfId="0" applyFont="true" applyBorder="true" applyAlignment="true" applyProtection="false">
      <alignment horizontal="center" vertical="center" textRotation="0" wrapText="true" indent="0" shrinkToFit="false"/>
      <protection locked="true" hidden="false"/>
    </xf>
    <xf numFmtId="164" fontId="16" fillId="8" borderId="20" xfId="0" applyFont="true" applyBorder="true" applyAlignment="true" applyProtection="false">
      <alignment horizontal="center" vertical="center" textRotation="0" wrapText="true" indent="0" shrinkToFit="false"/>
      <protection locked="true" hidden="false"/>
    </xf>
    <xf numFmtId="165" fontId="0" fillId="0" borderId="20"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444444"/>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G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44"/>
    <col collapsed="false" customWidth="true" hidden="false" outlineLevel="0" max="4" min="4" style="0" width="12"/>
    <col collapsed="false" customWidth="true" hidden="false" outlineLevel="0" max="5" min="5" style="0" width="18"/>
    <col collapsed="false" customWidth="true" hidden="false" outlineLevel="0" max="6" min="6" style="0" width="26"/>
    <col collapsed="false" customWidth="true" hidden="false" outlineLevel="0" max="7" min="7" style="0" width="62"/>
  </cols>
  <sheetData>
    <row r="1" customFormat="false" ht="17.35" hidden="false" customHeight="false" outlineLevel="0" collapsed="false">
      <c r="B1" s="1" t="s">
        <v>0</v>
      </c>
    </row>
    <row r="2" customFormat="false" ht="15" hidden="false" customHeight="false" outlineLevel="0" collapsed="false">
      <c r="B2" s="2" t="s">
        <v>1</v>
      </c>
    </row>
    <row r="4" customFormat="false" ht="15" hidden="false" customHeight="true" outlineLevel="0" collapsed="false">
      <c r="B4" s="3" t="s">
        <v>2</v>
      </c>
      <c r="C4" s="3" t="s">
        <v>3</v>
      </c>
      <c r="D4" s="3" t="s">
        <v>4</v>
      </c>
      <c r="E4" s="3"/>
      <c r="F4" s="3" t="s">
        <v>5</v>
      </c>
      <c r="G4" s="3"/>
    </row>
    <row r="5" customFormat="false" ht="21.75" hidden="false" customHeight="true" outlineLevel="0" collapsed="false">
      <c r="B5" s="4" t="n">
        <v>1</v>
      </c>
      <c r="C5" s="5" t="s">
        <v>6</v>
      </c>
      <c r="D5" s="6" t="s">
        <v>7</v>
      </c>
      <c r="E5" s="6"/>
      <c r="F5" s="7" t="n">
        <f aca="false">SUMIF($E$12:$E$21,B5,$D$12:$D$21)</f>
        <v>25</v>
      </c>
      <c r="G5" s="7"/>
    </row>
    <row r="6" customFormat="false" ht="21.75" hidden="false" customHeight="true" outlineLevel="0" collapsed="false">
      <c r="B6" s="8" t="n">
        <v>2</v>
      </c>
      <c r="C6" s="9" t="s">
        <v>8</v>
      </c>
      <c r="D6" s="6" t="s">
        <v>9</v>
      </c>
      <c r="E6" s="6"/>
      <c r="F6" s="10" t="n">
        <f aca="false">SUMIF($E$12:$E$21,B6,$D$12:$D$21)</f>
        <v>25</v>
      </c>
      <c r="G6" s="10"/>
    </row>
    <row r="7" customFormat="false" ht="21.75" hidden="false" customHeight="true" outlineLevel="0" collapsed="false">
      <c r="B7" s="11" t="n">
        <v>3</v>
      </c>
      <c r="C7" s="12" t="s">
        <v>10</v>
      </c>
      <c r="D7" s="6" t="s">
        <v>11</v>
      </c>
      <c r="E7" s="6"/>
      <c r="F7" s="13" t="n">
        <f aca="false">SUMIF($E$12:$E$21,B7,$D$12:$D$21)</f>
        <v>25</v>
      </c>
      <c r="G7" s="13"/>
    </row>
    <row r="8" customFormat="false" ht="21.75" hidden="false" customHeight="true" outlineLevel="0" collapsed="false">
      <c r="B8" s="14" t="n">
        <v>4</v>
      </c>
      <c r="C8" s="15" t="s">
        <v>12</v>
      </c>
      <c r="D8" s="6" t="s">
        <v>13</v>
      </c>
      <c r="E8" s="6"/>
      <c r="F8" s="16" t="n">
        <f aca="false">SUMIF($E$12:$E$21,B8,$D$12:$D$21)</f>
        <v>25</v>
      </c>
      <c r="G8" s="16"/>
    </row>
    <row r="9" customFormat="false" ht="15" hidden="false" customHeight="false" outlineLevel="0" collapsed="false">
      <c r="C9" s="17" t="s">
        <v>14</v>
      </c>
      <c r="F9" s="18" t="n">
        <f aca="false">SUM(F5:F8)</f>
        <v>100</v>
      </c>
      <c r="G9" s="18"/>
    </row>
    <row r="11" customFormat="false" ht="30" hidden="false" customHeight="true" outlineLevel="0" collapsed="false">
      <c r="B11" s="3" t="s">
        <v>2</v>
      </c>
      <c r="C11" s="3" t="s">
        <v>15</v>
      </c>
      <c r="D11" s="3" t="s">
        <v>16</v>
      </c>
      <c r="E11" s="3" t="s">
        <v>17</v>
      </c>
      <c r="F11" s="3" t="s">
        <v>18</v>
      </c>
      <c r="G11" s="3" t="s">
        <v>19</v>
      </c>
    </row>
    <row r="12" customFormat="false" ht="30" hidden="false" customHeight="true" outlineLevel="0" collapsed="false">
      <c r="B12" s="19" t="n">
        <v>1</v>
      </c>
      <c r="C12" s="20" t="s">
        <v>20</v>
      </c>
      <c r="D12" s="21" t="n">
        <f aca="false">'Rubrica CAT_2'!I10</f>
        <v>15</v>
      </c>
      <c r="E12" s="22" t="n">
        <v>1</v>
      </c>
      <c r="F12" s="23" t="str">
        <f aca="false">INDEX($D$5:$D$8,E12)</f>
        <v>Integrante 1</v>
      </c>
      <c r="G12" s="20" t="s">
        <v>21</v>
      </c>
    </row>
    <row r="13" customFormat="false" ht="30" hidden="false" customHeight="true" outlineLevel="0" collapsed="false">
      <c r="B13" s="19" t="n">
        <v>2</v>
      </c>
      <c r="C13" s="20" t="s">
        <v>22</v>
      </c>
      <c r="D13" s="21" t="n">
        <f aca="false">'Rubrica CAT_2'!I24</f>
        <v>5</v>
      </c>
      <c r="E13" s="22" t="n">
        <v>1</v>
      </c>
      <c r="F13" s="23" t="str">
        <f aca="false">INDEX($D$5:$D$8,E13)</f>
        <v>Integrante 1</v>
      </c>
      <c r="G13" s="20" t="s">
        <v>23</v>
      </c>
    </row>
    <row r="14" customFormat="false" ht="30" hidden="false" customHeight="true" outlineLevel="0" collapsed="false">
      <c r="B14" s="19" t="n">
        <v>3</v>
      </c>
      <c r="C14" s="20" t="s">
        <v>24</v>
      </c>
      <c r="D14" s="21" t="n">
        <f aca="false">'Rubrica CAT_2'!I22</f>
        <v>5</v>
      </c>
      <c r="E14" s="22" t="n">
        <v>1</v>
      </c>
      <c r="F14" s="23" t="str">
        <f aca="false">INDEX($D$5:$D$8,E14)</f>
        <v>Integrante 1</v>
      </c>
      <c r="G14" s="20" t="s">
        <v>25</v>
      </c>
    </row>
    <row r="15" customFormat="false" ht="30" hidden="false" customHeight="true" outlineLevel="0" collapsed="false">
      <c r="B15" s="19" t="n">
        <v>4</v>
      </c>
      <c r="C15" s="20" t="s">
        <v>26</v>
      </c>
      <c r="D15" s="21" t="n">
        <f aca="false">'Rubrica CAT_2'!I12</f>
        <v>15</v>
      </c>
      <c r="E15" s="22" t="n">
        <v>2</v>
      </c>
      <c r="F15" s="24" t="str">
        <f aca="false">INDEX($D$5:$D$8,E15)</f>
        <v>Integrante 2</v>
      </c>
      <c r="G15" s="20" t="s">
        <v>27</v>
      </c>
    </row>
    <row r="16" customFormat="false" ht="30" hidden="false" customHeight="true" outlineLevel="0" collapsed="false">
      <c r="B16" s="19" t="n">
        <v>5</v>
      </c>
      <c r="C16" s="20" t="s">
        <v>28</v>
      </c>
      <c r="D16" s="21" t="n">
        <f aca="false">'Rubrica CAT_2'!I28</f>
        <v>10</v>
      </c>
      <c r="E16" s="22" t="n">
        <v>2</v>
      </c>
      <c r="F16" s="24" t="str">
        <f aca="false">INDEX($D$5:$D$8,E16)</f>
        <v>Integrante 2</v>
      </c>
      <c r="G16" s="20" t="s">
        <v>29</v>
      </c>
    </row>
    <row r="17" customFormat="false" ht="30" hidden="false" customHeight="true" outlineLevel="0" collapsed="false">
      <c r="B17" s="19" t="n">
        <v>6</v>
      </c>
      <c r="C17" s="20" t="s">
        <v>30</v>
      </c>
      <c r="D17" s="21" t="n">
        <f aca="false">'Rubrica CAT_2'!I14</f>
        <v>15</v>
      </c>
      <c r="E17" s="22" t="n">
        <v>3</v>
      </c>
      <c r="F17" s="25" t="str">
        <f aca="false">INDEX($D$5:$D$8,E17)</f>
        <v>Integrante 3</v>
      </c>
      <c r="G17" s="20" t="s">
        <v>31</v>
      </c>
    </row>
    <row r="18" customFormat="false" ht="30" hidden="false" customHeight="true" outlineLevel="0" collapsed="false">
      <c r="B18" s="19" t="n">
        <v>7</v>
      </c>
      <c r="C18" s="20" t="s">
        <v>32</v>
      </c>
      <c r="D18" s="21" t="n">
        <f aca="false">'Rubrica CAT_2'!I20</f>
        <v>10</v>
      </c>
      <c r="E18" s="22" t="n">
        <v>3</v>
      </c>
      <c r="F18" s="25" t="str">
        <f aca="false">INDEX($D$5:$D$8,E18)</f>
        <v>Integrante 3</v>
      </c>
      <c r="G18" s="20" t="s">
        <v>33</v>
      </c>
    </row>
    <row r="19" customFormat="false" ht="30" hidden="false" customHeight="true" outlineLevel="0" collapsed="false">
      <c r="B19" s="19" t="n">
        <v>8</v>
      </c>
      <c r="C19" s="20" t="s">
        <v>34</v>
      </c>
      <c r="D19" s="21" t="n">
        <f aca="false">'Rubrica CAT_2'!I16</f>
        <v>10</v>
      </c>
      <c r="E19" s="22" t="n">
        <v>4</v>
      </c>
      <c r="F19" s="26" t="str">
        <f aca="false">INDEX($D$5:$D$8,E19)</f>
        <v>Integrante 4</v>
      </c>
      <c r="G19" s="20" t="s">
        <v>35</v>
      </c>
    </row>
    <row r="20" customFormat="false" ht="30" hidden="false" customHeight="true" outlineLevel="0" collapsed="false">
      <c r="B20" s="19" t="n">
        <v>9</v>
      </c>
      <c r="C20" s="20" t="s">
        <v>36</v>
      </c>
      <c r="D20" s="21" t="n">
        <f aca="false">'Rubrica CAT_2'!I18</f>
        <v>10</v>
      </c>
      <c r="E20" s="22" t="n">
        <v>4</v>
      </c>
      <c r="F20" s="26" t="str">
        <f aca="false">INDEX($D$5:$D$8,E20)</f>
        <v>Integrante 4</v>
      </c>
      <c r="G20" s="20" t="s">
        <v>37</v>
      </c>
    </row>
    <row r="21" customFormat="false" ht="30" hidden="false" customHeight="true" outlineLevel="0" collapsed="false">
      <c r="B21" s="19" t="n">
        <v>10</v>
      </c>
      <c r="C21" s="20" t="s">
        <v>38</v>
      </c>
      <c r="D21" s="21" t="n">
        <f aca="false">'Rubrica CAT_2'!I26</f>
        <v>5</v>
      </c>
      <c r="E21" s="22" t="n">
        <v>4</v>
      </c>
      <c r="F21" s="26" t="str">
        <f aca="false">INDEX($D$5:$D$8,E21)</f>
        <v>Integrante 4</v>
      </c>
      <c r="G21" s="20" t="s">
        <v>39</v>
      </c>
    </row>
    <row r="22" customFormat="false" ht="15" hidden="false" customHeight="false" outlineLevel="0" collapsed="false">
      <c r="C22" s="17" t="s">
        <v>14</v>
      </c>
      <c r="D22" s="27" t="n">
        <f aca="false">SUM(D12:D21)</f>
        <v>100</v>
      </c>
    </row>
    <row r="24" customFormat="false" ht="15" hidden="false" customHeight="false" outlineLevel="0" collapsed="false">
      <c r="B24" s="28" t="s">
        <v>40</v>
      </c>
    </row>
    <row r="25" customFormat="false" ht="15" hidden="false" customHeight="false" outlineLevel="0" collapsed="false">
      <c r="C25" s="29" t="s">
        <v>41</v>
      </c>
      <c r="D25" s="29"/>
      <c r="E25" s="29"/>
      <c r="F25" s="29"/>
      <c r="G25" s="29"/>
    </row>
    <row r="26" customFormat="false" ht="15" hidden="false" customHeight="false" outlineLevel="0" collapsed="false">
      <c r="C26" s="29" t="s">
        <v>42</v>
      </c>
      <c r="D26" s="29"/>
      <c r="E26" s="29"/>
      <c r="F26" s="29"/>
      <c r="G26" s="29"/>
    </row>
    <row r="27" customFormat="false" ht="15" hidden="false" customHeight="false" outlineLevel="0" collapsed="false">
      <c r="C27" s="29" t="s">
        <v>43</v>
      </c>
      <c r="D27" s="29"/>
      <c r="E27" s="29"/>
      <c r="F27" s="29"/>
      <c r="G27" s="29"/>
    </row>
    <row r="28" customFormat="false" ht="15" hidden="false" customHeight="false" outlineLevel="0" collapsed="false">
      <c r="C28" s="29" t="s">
        <v>44</v>
      </c>
      <c r="D28" s="29"/>
      <c r="E28" s="29"/>
      <c r="F28" s="29"/>
      <c r="G28" s="29"/>
    </row>
  </sheetData>
  <mergeCells count="15">
    <mergeCell ref="D4:E4"/>
    <mergeCell ref="F4:G4"/>
    <mergeCell ref="D5:E5"/>
    <mergeCell ref="F5:G5"/>
    <mergeCell ref="D6:E6"/>
    <mergeCell ref="F6:G6"/>
    <mergeCell ref="D7:E7"/>
    <mergeCell ref="F7:G7"/>
    <mergeCell ref="D8:E8"/>
    <mergeCell ref="F8:G8"/>
    <mergeCell ref="F9:G9"/>
    <mergeCell ref="C25:G25"/>
    <mergeCell ref="C26:G26"/>
    <mergeCell ref="C27:G27"/>
    <mergeCell ref="C28:G28"/>
  </mergeCells>
  <dataValidations count="1">
    <dataValidation allowBlank="false" error="Ingrese un número de 1 a 4." errorStyle="stop" errorTitle="Integrante" operator="between" showDropDown="false" showErrorMessage="true" showInputMessage="false" sqref="E12:E21" type="whole">
      <formula1>1</formula1>
      <formula2>4</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31"/>
  <sheetViews>
    <sheetView showFormulas="false" showGridLines="true" showRowColHeaders="true" showZeros="true" rightToLeft="false" tabSelected="true" showOutlineSymbols="true" defaultGridColor="true" view="normal" topLeftCell="E24" colorId="64" zoomScale="100" zoomScaleNormal="100" zoomScalePageLayoutView="100" workbookViewId="0">
      <selection pane="topLeft" activeCell="E26" activeCellId="0" sqref="E26"/>
    </sheetView>
  </sheetViews>
  <sheetFormatPr defaultColWidth="18" defaultRowHeight="14.25" zeroHeight="false" outlineLevelRow="0" outlineLevelCol="0"/>
  <cols>
    <col collapsed="false" customWidth="true" hidden="false" outlineLevel="0" max="1" min="1" style="30" width="2.45"/>
    <col collapsed="false" customWidth="true" hidden="false" outlineLevel="0" max="2" min="2" style="31" width="19.27"/>
    <col collapsed="false" customWidth="true" hidden="false" outlineLevel="0" max="3" min="3" style="31" width="20.45"/>
    <col collapsed="false" customWidth="true" hidden="false" outlineLevel="0" max="4" min="4" style="30" width="19.18"/>
    <col collapsed="false" customWidth="true" hidden="false" outlineLevel="0" max="8" min="5" style="30" width="40.45"/>
    <col collapsed="false" customWidth="true" hidden="false" outlineLevel="0" max="9" min="9" style="30" width="9.18"/>
    <col collapsed="false" customWidth="false" hidden="false" outlineLevel="0" max="16384" min="10" style="30" width="18"/>
  </cols>
  <sheetData>
    <row r="1" customFormat="false" ht="14.25" hidden="false" customHeight="false" outlineLevel="0" collapsed="false">
      <c r="D1" s="32" t="s">
        <v>45</v>
      </c>
      <c r="E1" s="32"/>
      <c r="F1" s="32"/>
      <c r="G1" s="32"/>
      <c r="H1" s="32"/>
    </row>
    <row r="2" customFormat="false" ht="14.25" hidden="false" customHeight="false" outlineLevel="0" collapsed="false">
      <c r="D2" s="32"/>
      <c r="E2" s="32"/>
      <c r="F2" s="32"/>
      <c r="G2" s="32"/>
      <c r="H2" s="32"/>
    </row>
    <row r="3" customFormat="false" ht="18" hidden="false" customHeight="true" outlineLevel="0" collapsed="false">
      <c r="D3" s="33"/>
      <c r="E3" s="33"/>
      <c r="F3" s="33"/>
      <c r="G3" s="33"/>
      <c r="H3" s="33"/>
    </row>
    <row r="4" customFormat="false" ht="15.75" hidden="false" customHeight="true" outlineLevel="0" collapsed="false">
      <c r="D4" s="34" t="s">
        <v>46</v>
      </c>
      <c r="E4" s="35" t="s">
        <v>47</v>
      </c>
      <c r="G4" s="34" t="s">
        <v>48</v>
      </c>
      <c r="H4" s="36"/>
    </row>
    <row r="5" customFormat="false" ht="15.75" hidden="false" customHeight="true" outlineLevel="0" collapsed="false">
      <c r="D5" s="34"/>
      <c r="E5" s="37" t="s">
        <v>47</v>
      </c>
    </row>
    <row r="6" customFormat="false" ht="24" hidden="false" customHeight="true" outlineLevel="0" collapsed="false">
      <c r="D6" s="38" t="s">
        <v>49</v>
      </c>
      <c r="E6" s="39"/>
      <c r="F6" s="39"/>
      <c r="G6" s="39"/>
      <c r="H6" s="39"/>
    </row>
    <row r="7" customFormat="false" ht="25.5" hidden="false" customHeight="true" outlineLevel="0" collapsed="false">
      <c r="D7" s="38"/>
      <c r="E7" s="39"/>
      <c r="F7" s="39"/>
      <c r="G7" s="39"/>
      <c r="H7" s="39"/>
    </row>
    <row r="8" customFormat="false" ht="15" hidden="false" customHeight="true" outlineLevel="0" collapsed="false"/>
    <row r="9" customFormat="false" ht="16.5" hidden="false" customHeight="true" outlineLevel="0" collapsed="false">
      <c r="B9" s="40"/>
      <c r="C9" s="41"/>
      <c r="D9" s="42" t="s">
        <v>50</v>
      </c>
      <c r="E9" s="43" t="s">
        <v>51</v>
      </c>
      <c r="F9" s="44" t="s">
        <v>52</v>
      </c>
      <c r="G9" s="44" t="s">
        <v>53</v>
      </c>
      <c r="H9" s="44" t="s">
        <v>54</v>
      </c>
      <c r="I9" s="45" t="s">
        <v>55</v>
      </c>
      <c r="J9" s="45" t="s">
        <v>18</v>
      </c>
    </row>
    <row r="10" customFormat="false" ht="139.5" hidden="false" customHeight="true" outlineLevel="0" collapsed="false">
      <c r="B10" s="46" t="s">
        <v>56</v>
      </c>
      <c r="C10" s="46" t="s">
        <v>57</v>
      </c>
      <c r="D10" s="47" t="s">
        <v>58</v>
      </c>
      <c r="E10" s="48" t="s">
        <v>59</v>
      </c>
      <c r="F10" s="48" t="s">
        <v>60</v>
      </c>
      <c r="G10" s="48" t="s">
        <v>61</v>
      </c>
      <c r="H10" s="48" t="s">
        <v>62</v>
      </c>
      <c r="I10" s="49" t="n">
        <v>15</v>
      </c>
      <c r="J10" s="50" t="str">
        <f aca="false">'Distribución 4 integrantes'!F12</f>
        <v>Integrante 1</v>
      </c>
    </row>
    <row r="11" customFormat="false" ht="16.5" hidden="false" customHeight="true" outlineLevel="0" collapsed="false">
      <c r="B11" s="46"/>
      <c r="C11" s="46"/>
      <c r="D11" s="51" t="s">
        <v>63</v>
      </c>
      <c r="E11" s="52" t="s">
        <v>64</v>
      </c>
      <c r="F11" s="52" t="s">
        <v>65</v>
      </c>
      <c r="G11" s="52" t="s">
        <v>66</v>
      </c>
      <c r="H11" s="53" t="s">
        <v>67</v>
      </c>
      <c r="I11" s="49"/>
      <c r="J11" s="50"/>
    </row>
    <row r="12" customFormat="false" ht="130.5" hidden="false" customHeight="true" outlineLevel="0" collapsed="false">
      <c r="B12" s="46"/>
      <c r="C12" s="46"/>
      <c r="D12" s="54" t="s">
        <v>68</v>
      </c>
      <c r="E12" s="55" t="s">
        <v>69</v>
      </c>
      <c r="F12" s="55" t="s">
        <v>70</v>
      </c>
      <c r="G12" s="55" t="s">
        <v>71</v>
      </c>
      <c r="H12" s="55" t="s">
        <v>72</v>
      </c>
      <c r="I12" s="56" t="n">
        <v>15</v>
      </c>
      <c r="J12" s="57" t="str">
        <f aca="false">'Distribución 4 integrantes'!F15</f>
        <v>Integrante 2</v>
      </c>
    </row>
    <row r="13" customFormat="false" ht="16.5" hidden="false" customHeight="true" outlineLevel="0" collapsed="false">
      <c r="B13" s="46"/>
      <c r="C13" s="46"/>
      <c r="D13" s="51" t="s">
        <v>63</v>
      </c>
      <c r="E13" s="52" t="s">
        <v>64</v>
      </c>
      <c r="F13" s="52" t="s">
        <v>65</v>
      </c>
      <c r="G13" s="52" t="s">
        <v>66</v>
      </c>
      <c r="H13" s="53" t="s">
        <v>67</v>
      </c>
      <c r="I13" s="56"/>
      <c r="J13" s="57"/>
    </row>
    <row r="14" customFormat="false" ht="99" hidden="false" customHeight="true" outlineLevel="0" collapsed="false">
      <c r="B14" s="46"/>
      <c r="C14" s="46"/>
      <c r="D14" s="47" t="s">
        <v>73</v>
      </c>
      <c r="E14" s="58" t="s">
        <v>74</v>
      </c>
      <c r="F14" s="59" t="s">
        <v>75</v>
      </c>
      <c r="G14" s="58" t="s">
        <v>76</v>
      </c>
      <c r="H14" s="58" t="s">
        <v>77</v>
      </c>
      <c r="I14" s="49" t="n">
        <v>15</v>
      </c>
      <c r="J14" s="60" t="str">
        <f aca="false">'Distribución 4 integrantes'!F17</f>
        <v>Integrante 3</v>
      </c>
    </row>
    <row r="15" customFormat="false" ht="16.5" hidden="false" customHeight="true" outlineLevel="0" collapsed="false">
      <c r="B15" s="46"/>
      <c r="C15" s="46"/>
      <c r="D15" s="51" t="s">
        <v>63</v>
      </c>
      <c r="E15" s="52" t="s">
        <v>64</v>
      </c>
      <c r="F15" s="52" t="s">
        <v>65</v>
      </c>
      <c r="G15" s="52" t="s">
        <v>66</v>
      </c>
      <c r="H15" s="53" t="s">
        <v>67</v>
      </c>
      <c r="I15" s="49"/>
      <c r="J15" s="60"/>
    </row>
    <row r="16" customFormat="false" ht="198" hidden="false" customHeight="true" outlineLevel="0" collapsed="false">
      <c r="B16" s="46"/>
      <c r="C16" s="61" t="s">
        <v>78</v>
      </c>
      <c r="D16" s="54" t="s">
        <v>79</v>
      </c>
      <c r="E16" s="62" t="s">
        <v>80</v>
      </c>
      <c r="F16" s="62" t="s">
        <v>81</v>
      </c>
      <c r="G16" s="62" t="s">
        <v>82</v>
      </c>
      <c r="H16" s="62" t="s">
        <v>83</v>
      </c>
      <c r="I16" s="56" t="n">
        <v>10</v>
      </c>
      <c r="J16" s="63" t="str">
        <f aca="false">'Distribución 4 integrantes'!F19</f>
        <v>Integrante 4</v>
      </c>
    </row>
    <row r="17" customFormat="false" ht="15.75" hidden="false" customHeight="true" outlineLevel="0" collapsed="false">
      <c r="B17" s="46"/>
      <c r="C17" s="61"/>
      <c r="D17" s="51" t="s">
        <v>63</v>
      </c>
      <c r="E17" s="52" t="s">
        <v>84</v>
      </c>
      <c r="F17" s="52" t="s">
        <v>85</v>
      </c>
      <c r="G17" s="52" t="s">
        <v>86</v>
      </c>
      <c r="H17" s="53" t="s">
        <v>87</v>
      </c>
      <c r="I17" s="56"/>
      <c r="J17" s="63"/>
    </row>
    <row r="18" customFormat="false" ht="174" hidden="false" customHeight="true" outlineLevel="0" collapsed="false">
      <c r="B18" s="46"/>
      <c r="C18" s="64" t="s">
        <v>88</v>
      </c>
      <c r="D18" s="47" t="s">
        <v>36</v>
      </c>
      <c r="E18" s="58" t="s">
        <v>89</v>
      </c>
      <c r="F18" s="65" t="s">
        <v>90</v>
      </c>
      <c r="G18" s="66" t="s">
        <v>91</v>
      </c>
      <c r="H18" s="67" t="s">
        <v>92</v>
      </c>
      <c r="I18" s="49" t="n">
        <v>10</v>
      </c>
      <c r="J18" s="63" t="str">
        <f aca="false">'Distribución 4 integrantes'!F20</f>
        <v>Integrante 4</v>
      </c>
    </row>
    <row r="19" customFormat="false" ht="16.5" hidden="false" customHeight="true" outlineLevel="0" collapsed="false">
      <c r="B19" s="46"/>
      <c r="C19" s="64"/>
      <c r="D19" s="51" t="s">
        <v>63</v>
      </c>
      <c r="E19" s="52" t="s">
        <v>84</v>
      </c>
      <c r="F19" s="52" t="s">
        <v>85</v>
      </c>
      <c r="G19" s="52" t="s">
        <v>86</v>
      </c>
      <c r="H19" s="53" t="s">
        <v>87</v>
      </c>
      <c r="I19" s="49"/>
      <c r="J19" s="63"/>
    </row>
    <row r="20" customFormat="false" ht="87" hidden="false" customHeight="true" outlineLevel="0" collapsed="false">
      <c r="B20" s="68" t="s">
        <v>93</v>
      </c>
      <c r="C20" s="61" t="s">
        <v>94</v>
      </c>
      <c r="D20" s="54" t="s">
        <v>32</v>
      </c>
      <c r="E20" s="69" t="s">
        <v>95</v>
      </c>
      <c r="F20" s="70" t="s">
        <v>96</v>
      </c>
      <c r="G20" s="70" t="s">
        <v>97</v>
      </c>
      <c r="H20" s="71" t="s">
        <v>98</v>
      </c>
      <c r="I20" s="56" t="n">
        <v>10</v>
      </c>
      <c r="J20" s="60" t="str">
        <f aca="false">'Distribución 4 integrantes'!F18</f>
        <v>Integrante 3</v>
      </c>
    </row>
    <row r="21" customFormat="false" ht="16.5" hidden="false" customHeight="true" outlineLevel="0" collapsed="false">
      <c r="B21" s="68"/>
      <c r="C21" s="68"/>
      <c r="D21" s="51" t="s">
        <v>63</v>
      </c>
      <c r="E21" s="52" t="s">
        <v>84</v>
      </c>
      <c r="F21" s="52" t="s">
        <v>85</v>
      </c>
      <c r="G21" s="52" t="s">
        <v>86</v>
      </c>
      <c r="H21" s="53" t="s">
        <v>87</v>
      </c>
      <c r="I21" s="56"/>
      <c r="J21" s="60"/>
    </row>
    <row r="22" customFormat="false" ht="57.75" hidden="false" customHeight="true" outlineLevel="0" collapsed="false">
      <c r="B22" s="68"/>
      <c r="C22" s="68"/>
      <c r="D22" s="47" t="s">
        <v>24</v>
      </c>
      <c r="E22" s="58" t="s">
        <v>99</v>
      </c>
      <c r="F22" s="72" t="s">
        <v>100</v>
      </c>
      <c r="G22" s="66" t="s">
        <v>101</v>
      </c>
      <c r="H22" s="67" t="s">
        <v>102</v>
      </c>
      <c r="I22" s="49" t="n">
        <v>5</v>
      </c>
      <c r="J22" s="50" t="str">
        <f aca="false">'Distribución 4 integrantes'!F14</f>
        <v>Integrante 1</v>
      </c>
    </row>
    <row r="23" customFormat="false" ht="16.5" hidden="false" customHeight="true" outlineLevel="0" collapsed="false">
      <c r="B23" s="68"/>
      <c r="C23" s="61"/>
      <c r="D23" s="51" t="s">
        <v>63</v>
      </c>
      <c r="E23" s="52" t="s">
        <v>103</v>
      </c>
      <c r="F23" s="52" t="s">
        <v>104</v>
      </c>
      <c r="G23" s="52" t="s">
        <v>105</v>
      </c>
      <c r="H23" s="53" t="s">
        <v>106</v>
      </c>
      <c r="I23" s="49"/>
      <c r="J23" s="50"/>
    </row>
    <row r="24" customFormat="false" ht="202.5" hidden="false" customHeight="true" outlineLevel="0" collapsed="false">
      <c r="B24" s="61" t="s">
        <v>107</v>
      </c>
      <c r="C24" s="73" t="s">
        <v>107</v>
      </c>
      <c r="D24" s="74" t="s">
        <v>22</v>
      </c>
      <c r="E24" s="75" t="s">
        <v>108</v>
      </c>
      <c r="F24" s="70" t="s">
        <v>109</v>
      </c>
      <c r="G24" s="70" t="s">
        <v>110</v>
      </c>
      <c r="H24" s="71" t="s">
        <v>111</v>
      </c>
      <c r="I24" s="56" t="n">
        <v>5</v>
      </c>
      <c r="J24" s="50" t="str">
        <f aca="false">'Distribución 4 integrantes'!F13</f>
        <v>Integrante 1</v>
      </c>
    </row>
    <row r="25" customFormat="false" ht="16.5" hidden="false" customHeight="true" outlineLevel="0" collapsed="false">
      <c r="B25" s="61"/>
      <c r="C25" s="73"/>
      <c r="D25" s="51" t="s">
        <v>63</v>
      </c>
      <c r="E25" s="52" t="s">
        <v>103</v>
      </c>
      <c r="F25" s="52" t="s">
        <v>104</v>
      </c>
      <c r="G25" s="52" t="s">
        <v>105</v>
      </c>
      <c r="H25" s="53" t="s">
        <v>106</v>
      </c>
      <c r="I25" s="56"/>
      <c r="J25" s="50"/>
    </row>
    <row r="26" customFormat="false" ht="84.75" hidden="false" customHeight="true" outlineLevel="0" collapsed="false">
      <c r="B26" s="46" t="s">
        <v>112</v>
      </c>
      <c r="C26" s="76" t="s">
        <v>112</v>
      </c>
      <c r="D26" s="77" t="s">
        <v>38</v>
      </c>
      <c r="E26" s="55" t="s">
        <v>113</v>
      </c>
      <c r="F26" s="55" t="s">
        <v>114</v>
      </c>
      <c r="G26" s="78" t="s">
        <v>115</v>
      </c>
      <c r="H26" s="78" t="s">
        <v>116</v>
      </c>
      <c r="I26" s="56" t="n">
        <v>5</v>
      </c>
      <c r="J26" s="63" t="str">
        <f aca="false">'Distribución 4 integrantes'!F21</f>
        <v>Integrante 4</v>
      </c>
    </row>
    <row r="27" customFormat="false" ht="16.5" hidden="false" customHeight="true" outlineLevel="0" collapsed="false">
      <c r="B27" s="46"/>
      <c r="C27" s="76"/>
      <c r="D27" s="51" t="s">
        <v>63</v>
      </c>
      <c r="E27" s="79" t="s">
        <v>103</v>
      </c>
      <c r="F27" s="79" t="s">
        <v>104</v>
      </c>
      <c r="G27" s="79" t="s">
        <v>105</v>
      </c>
      <c r="H27" s="80" t="s">
        <v>106</v>
      </c>
      <c r="I27" s="56"/>
      <c r="J27" s="63"/>
    </row>
    <row r="28" customFormat="false" ht="81" hidden="false" customHeight="true" outlineLevel="0" collapsed="false">
      <c r="B28" s="61" t="s">
        <v>117</v>
      </c>
      <c r="C28" s="61" t="s">
        <v>118</v>
      </c>
      <c r="D28" s="81" t="s">
        <v>119</v>
      </c>
      <c r="E28" s="55" t="s">
        <v>120</v>
      </c>
      <c r="F28" s="55" t="s">
        <v>121</v>
      </c>
      <c r="G28" s="78" t="s">
        <v>122</v>
      </c>
      <c r="H28" s="78" t="s">
        <v>123</v>
      </c>
      <c r="I28" s="56" t="n">
        <v>10</v>
      </c>
      <c r="J28" s="57" t="str">
        <f aca="false">'Distribución 4 integrantes'!F16</f>
        <v>Integrante 2</v>
      </c>
    </row>
    <row r="29" customFormat="false" ht="16.5" hidden="false" customHeight="true" outlineLevel="0" collapsed="false">
      <c r="B29" s="61"/>
      <c r="C29" s="61"/>
      <c r="D29" s="82" t="s">
        <v>63</v>
      </c>
      <c r="E29" s="52" t="s">
        <v>84</v>
      </c>
      <c r="F29" s="52" t="s">
        <v>85</v>
      </c>
      <c r="G29" s="52" t="s">
        <v>86</v>
      </c>
      <c r="H29" s="53" t="s">
        <v>87</v>
      </c>
      <c r="I29" s="56"/>
      <c r="J29" s="57"/>
    </row>
    <row r="30" customFormat="false" ht="15" hidden="false" customHeight="true" outlineLevel="0" collapsed="false">
      <c r="I30" s="83" t="n">
        <f aca="false">SUM(I10:I29)</f>
        <v>100</v>
      </c>
    </row>
    <row r="31" customFormat="false" ht="15.75" hidden="false" customHeight="true" outlineLevel="0" collapsed="false">
      <c r="D31" s="84"/>
    </row>
  </sheetData>
  <mergeCells count="35">
    <mergeCell ref="D1:H2"/>
    <mergeCell ref="D6:D7"/>
    <mergeCell ref="E6:H7"/>
    <mergeCell ref="B10:B19"/>
    <mergeCell ref="C10:C15"/>
    <mergeCell ref="I10:I11"/>
    <mergeCell ref="J10:J11"/>
    <mergeCell ref="I12:I13"/>
    <mergeCell ref="J12:J13"/>
    <mergeCell ref="I14:I15"/>
    <mergeCell ref="J14:J15"/>
    <mergeCell ref="C16:C17"/>
    <mergeCell ref="I16:I17"/>
    <mergeCell ref="J16:J17"/>
    <mergeCell ref="C18:C19"/>
    <mergeCell ref="I18:I19"/>
    <mergeCell ref="J18:J19"/>
    <mergeCell ref="B20:B23"/>
    <mergeCell ref="C20:C23"/>
    <mergeCell ref="I20:I21"/>
    <mergeCell ref="J20:J21"/>
    <mergeCell ref="I22:I23"/>
    <mergeCell ref="J22:J23"/>
    <mergeCell ref="B24:B25"/>
    <mergeCell ref="C24:C25"/>
    <mergeCell ref="I24:I25"/>
    <mergeCell ref="J24:J25"/>
    <mergeCell ref="B26:B27"/>
    <mergeCell ref="C26:C27"/>
    <mergeCell ref="I26:I27"/>
    <mergeCell ref="J26:J27"/>
    <mergeCell ref="B28:B29"/>
    <mergeCell ref="C28:C29"/>
    <mergeCell ref="I28:I29"/>
    <mergeCell ref="J28:J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2026-01-20T14:00:23Z</dcterms:created>
  <dc:creator>Rodrigo Andres Bernaldo de Quiros Huerta de la Rivera</dc:creator>
  <dc:description/>
  <dc:language>en-US</dc:language>
  <cp:lastModifiedBy>Karen Andrea Penaloza Ponce</cp:lastModifiedBy>
  <dcterms:modified xsi:type="dcterms:W3CDTF">2026-10-24T15:13:50Z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0x010100A09F25AABC94204381F18A14E1010490</vt:lpwstr>
  </property>
</Properties>
</file>