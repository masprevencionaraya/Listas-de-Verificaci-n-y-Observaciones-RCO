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Pauta Auditoría" sheetId="2" state="visible" r:id="rId4"/>
    <sheet name="Resumen" sheetId="3" state="visible" r:id="rId5"/>
  </sheets>
  <definedNames>
    <definedName function="false" hidden="false" localSheetId="0" name="_xlnm.Print_Area" vbProcedure="false">Instrucciones!$A$1:$H$15</definedName>
    <definedName function="false" hidden="false" localSheetId="1" name="_xlnm.Print_Area" vbProcedure="false">'Pauta Auditoría'!$A$1:$M$81</definedName>
    <definedName function="false" hidden="false" localSheetId="1" name="_xlnm.Print_Titles" vbProcedure="false">'Pauta Auditoría'!$9:$9</definedName>
    <definedName function="false" hidden="false" localSheetId="2" name="_xlnm.Print_Area" vbProcedure="false">Resumen!$A$1:$J$29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<sst xmlns="http://schemas.openxmlformats.org/spreadsheetml/2006/main" count="561" uniqueCount="269">
  <si>
    <t xml:space="preserve">SISTEMA DE GESTIÓN DE SEGURIDAD, SALUD OCUPACIONAL Y MEDIO AMBIENTE</t>
  </si>
  <si>
    <t xml:space="preserve">SSOMA</t>
  </si>
  <si>
    <t xml:space="preserve">PAUTA DE EVALUACIÓN PARA AUDITORÍA – RF 27 INTERACCIÓN ENTRE PERSONAS Y VEHÍCULOS / EQUIPOS MÓVILES</t>
  </si>
  <si>
    <t xml:space="preserve">CODIGO:10031921-SSOMA-LST-XXX</t>
  </si>
  <si>
    <t xml:space="preserve">REV: 0</t>
  </si>
  <si>
    <t xml:space="preserve">FECHA: 26-10-2026</t>
  </si>
  <si>
    <t xml:space="preserve">OBJETIVO</t>
  </si>
  <si>
    <t xml:space="preserve">Evaluar el cumplimiento de los controles críticos del Riesgo de Fatalidad N° 27 – Interacción entre personas y vehículos o equipos móviles (atropello) en el área o contrato auditado: controles críticos preventivos CCP1–CCP4 y control crítico mitigador CCM1.</t>
  </si>
  <si>
    <t xml:space="preserve">CÓMO USAR</t>
  </si>
  <si>
    <t xml:space="preserve">1) Completar los datos generales en la hoja "Pauta Auditoría". 2) Evaluar cada ítem en la columna RESULTADO (lista desplegable). 3) Registrar la evidencia observada en todo ítem NC y definir acción correctiva, responsable y plazo. 4) La hoja "Resumen" calcula el cumplimiento automáticamente.</t>
  </si>
  <si>
    <t xml:space="preserve">CELDAS A COMPLETAR</t>
  </si>
  <si>
    <t xml:space="preserve">Solo las celdas en blanco con borde: datos generales, columna RESULTADO, evidencia observada, acción correctiva, responsable y plazo. No modificar las columnas del requisito ni las fórmulas de la hoja Resumen.</t>
  </si>
  <si>
    <t xml:space="preserve">ESCALA</t>
  </si>
  <si>
    <t xml:space="preserve">C = Cumple (1 punto) · NC = No cumple (0 puntos) · NA = No aplica (no se considera en el cálculo).</t>
  </si>
  <si>
    <t xml:space="preserve">DESVIACIONES CRÍTICAS</t>
  </si>
  <si>
    <t xml:space="preserve">En los ítems "Desviación crítica", C significa que la desviación NO se observa y NC que SÍ se observa. Una sola desviación crítica observada deja el resultado como NO CONFORME y obliga a detener la actividad y reportar.</t>
  </si>
  <si>
    <t xml:space="preserve">ENTREVISTAS</t>
  </si>
  <si>
    <t xml:space="preserve">Aplicar las preguntas de verificación a trabajador/a (incluye conductores/as y operadores/as), supervisor/a y ejecutivo/a. Si alguna respuesta es "NO": detener la actividad expuesta y notificar a la supervisión.</t>
  </si>
  <si>
    <t xml:space="preserve">% CUMPLIMIENTO</t>
  </si>
  <si>
    <t xml:space="preserve">Se calcula como C / (C + NC), por control, por componente y en total.</t>
  </si>
  <si>
    <t xml:space="preserve">CRITERIO DE RESULTADO</t>
  </si>
  <si>
    <t xml:space="preserve">≥ 90 % Satisfactorio · 75 % – 89 % Aceptable con observaciones · &lt; 75 % Deficiente · cualquier desviación crítica = NO CONFORME. (Umbrales propuestos; ajustar a la política de auditorías de la empresa o del mandante.)</t>
  </si>
  <si>
    <t xml:space="preserve">EJEMPLO DE LLENADO</t>
  </si>
  <si>
    <t xml:space="preserve">Ítem CCP2-DV1 · Resultado: NC · Evidencia observada: "Camión aljibe N° 12 retrocede con la alarma de retroceso desconectada" · Acción: "Detener el equipo, reparar la alarma y reinstruir al operador" · Responsable: Jefe de turno · Plazo: 30-10-2026.</t>
  </si>
  <si>
    <t xml:space="preserve">OBRA O CONTRATO:</t>
  </si>
  <si>
    <t xml:space="preserve">ÁREA / INSTALACIÓN AUDITADA:</t>
  </si>
  <si>
    <t xml:space="preserve">DUEÑO/A DEL CONTROL:</t>
  </si>
  <si>
    <t xml:space="preserve">AUDITOR/A LÍDER:</t>
  </si>
  <si>
    <t xml:space="preserve">EQUIPO AUDITOR:</t>
  </si>
  <si>
    <t xml:space="preserve">FECHA AUDITORÍA:</t>
  </si>
  <si>
    <t xml:space="preserve">TIPO: INTERNA / EXTERNA</t>
  </si>
  <si>
    <t xml:space="preserve">N° ÍTEM</t>
  </si>
  <si>
    <t xml:space="preserve">CONTROL</t>
  </si>
  <si>
    <t xml:space="preserve">COMPONENTE</t>
  </si>
  <si>
    <t xml:space="preserve">REQUISITO / DESVIACIÓN / PREGUNTA</t>
  </si>
  <si>
    <t xml:space="preserve">CRITERIO Y EVIDENCIA A VERIFICAR</t>
  </si>
  <si>
    <t xml:space="preserve">FRECUENCIA MONITOREO</t>
  </si>
  <si>
    <t xml:space="preserve">MÉTODO</t>
  </si>
  <si>
    <t xml:space="preserve">RESULTADO (C / NC / NA)</t>
  </si>
  <si>
    <t xml:space="preserve">EVIDENCIA OBSERVADA / HALLAZGO</t>
  </si>
  <si>
    <t xml:space="preserve">ACCIÓN CORRECTIVA</t>
  </si>
  <si>
    <t xml:space="preserve">RESPONSABLE</t>
  </si>
  <si>
    <t xml:space="preserve">PLAZO</t>
  </si>
  <si>
    <t xml:space="preserve">CCP1 – RUTAS VEHICULARES Y PEATONALES CONFORME A DISEÑO (SEGREGACIÓN, SEÑALÉTICA E ILUMINACIÓN)   (Preventivo crítico)</t>
  </si>
  <si>
    <t xml:space="preserve">CCP1-ED1</t>
  </si>
  <si>
    <t xml:space="preserve">CCP1</t>
  </si>
  <si>
    <t xml:space="preserve">Estándar de desempeño</t>
  </si>
  <si>
    <t xml:space="preserve">Plano / layout de tránsito del área</t>
  </si>
  <si>
    <t xml:space="preserve">Solicitar el plano o layout de tránsito aprobado y vigente, y verificar en terreno que coincide con las rutas, cruces y zonas reales. Los cambios de layout deben estar gestionados por gestión del cambio.</t>
  </si>
  <si>
    <t xml:space="preserve">Semestral</t>
  </si>
  <si>
    <t xml:space="preserve">Documental / Terreno</t>
  </si>
  <si>
    <t xml:space="preserve">CCP1-ED2</t>
  </si>
  <si>
    <t xml:space="preserve">Segregación física peatón – vehículo</t>
  </si>
  <si>
    <t xml:space="preserve">Verificar en terreno que las vías peatonales están segregadas físicamente de las vehiculares (barreras, barandas, New Jersey, cadenas) y que no existen tramos retirados sin reponer.</t>
  </si>
  <si>
    <t xml:space="preserve">Semanal</t>
  </si>
  <si>
    <t xml:space="preserve">Terreno</t>
  </si>
  <si>
    <t xml:space="preserve">CCP1-ED3</t>
  </si>
  <si>
    <t xml:space="preserve">Cruces peatonales definidos</t>
  </si>
  <si>
    <t xml:space="preserve">Verificar que los cruces peatonales están definidos, demarcados y señalizados, con prioridad de paso clara.</t>
  </si>
  <si>
    <t xml:space="preserve">Mensual</t>
  </si>
  <si>
    <t xml:space="preserve">CCP1-ED4</t>
  </si>
  <si>
    <t xml:space="preserve">Señalética vertical</t>
  </si>
  <si>
    <t xml:space="preserve">Verificar que la señalética (velocidad máxima, PARE, ceda el paso, prohibido el tránsito peatonal) está instalada, limpia y legible.</t>
  </si>
  <si>
    <t xml:space="preserve">CCP1-ED5</t>
  </si>
  <si>
    <t xml:space="preserve">Demarcación horizontal</t>
  </si>
  <si>
    <t xml:space="preserve">Verificar que pasos peatonales, líneas de detención y zonas de exclusión están demarcados y visibles.</t>
  </si>
  <si>
    <t xml:space="preserve">Trimestral</t>
  </si>
  <si>
    <t xml:space="preserve">CCP1-ED6</t>
  </si>
  <si>
    <t xml:space="preserve">Zonas de estacionamiento, carga / descarga y retroceso</t>
  </si>
  <si>
    <t xml:space="preserve">Verificar que están definidas en el plano de tránsito y señalizadas en terreno.</t>
  </si>
  <si>
    <t xml:space="preserve">CCP1-ED7</t>
  </si>
  <si>
    <t xml:space="preserve">Iluminación de rutas, cruces y frentes de trabajo</t>
  </si>
  <si>
    <t xml:space="preserve">Verificar (de preferencia en turno noche) que la iluminación es suficiente y las luminarias funcionan. Solicitar registros de medición de iluminación (DS 594).</t>
  </si>
  <si>
    <t xml:space="preserve">CCP1-DV1</t>
  </si>
  <si>
    <t xml:space="preserve">Desviación crítica</t>
  </si>
  <si>
    <t xml:space="preserve">Personas transitan por fuera de las rutas peatonales o cruces habilitados (atajos) en zonas con circulación de vehículos o equipos.</t>
  </si>
  <si>
    <t xml:space="preserve">C = la desviación NO se observa · NC = se observa → detener la actividad y reportar</t>
  </si>
  <si>
    <t xml:space="preserve">—</t>
  </si>
  <si>
    <t xml:space="preserve">CCP1-DV2</t>
  </si>
  <si>
    <t xml:space="preserve">Barreras o segregación retiradas por un trabajo y no repuestas, sin control alternativo, con tránsito de vehículos y personas.</t>
  </si>
  <si>
    <t xml:space="preserve">CCP1-DV3</t>
  </si>
  <si>
    <t xml:space="preserve">Cruce peatonal o frente de trabajo con tránsito vehicular sin iluminación en turno noche (luminarias quemadas o inexistentes).</t>
  </si>
  <si>
    <t xml:space="preserve">CCP1-DV4</t>
  </si>
  <si>
    <t xml:space="preserve">Se modifica el layout del área (nuevas rutas, frentes o acopios) sin actualizar el plano de tránsito ni la señalización.</t>
  </si>
  <si>
    <t xml:space="preserve">CCP1-EN1</t>
  </si>
  <si>
    <t xml:space="preserve">Entrevista</t>
  </si>
  <si>
    <t xml:space="preserve">Trabajador/a: ¿Conozco las rutas peatonales y los cruces habilitados de mi área y los uso siempre, aunque el camino sea más largo?</t>
  </si>
  <si>
    <t xml:space="preserve">Entrevistar a trabajadores del área. C = responde y demuestra conocimiento.</t>
  </si>
  <si>
    <t xml:space="preserve">CCP1-EN2</t>
  </si>
  <si>
    <t xml:space="preserve">Supervisor/a: ¿Verifiqué en terreno que la segregación, la señalética y la iluminación están completas y que, si se retiró una barrera, se repuso o se aplicó un control alternativo?</t>
  </si>
  <si>
    <t xml:space="preserve">Entrevistar al supervisor/a del área y contrastar con terreno.</t>
  </si>
  <si>
    <t xml:space="preserve">CCP1-EN3</t>
  </si>
  <si>
    <t xml:space="preserve">Ejecutivo/a: ¿Se cuenta con un plano de tránsito aprobado y actualizado, y con recursos para mantener la segregación, la señalética y la iluminación?</t>
  </si>
  <si>
    <t xml:space="preserve">Entrevistar al ejecutivo/a o dueño/a del control.</t>
  </si>
  <si>
    <t xml:space="preserve">CCP2 – SISTEMA ANTIATROPELLO Y ADVERTENCIA DE PROXIMIDAD   (Preventivo crítico)</t>
  </si>
  <si>
    <t xml:space="preserve">CCP2-ED1</t>
  </si>
  <si>
    <t xml:space="preserve">CCP2</t>
  </si>
  <si>
    <t xml:space="preserve">Sistema de detección de proximidad instalado</t>
  </si>
  <si>
    <t xml:space="preserve">Verificar que vehículos y equipos cuentan con el sistema de detección exigido por el estándar del área (radar, sensores, tag, cámara).</t>
  </si>
  <si>
    <t xml:space="preserve">CCP2-ED2</t>
  </si>
  <si>
    <t xml:space="preserve">Alarma sonora de retroceso</t>
  </si>
  <si>
    <t xml:space="preserve">Verificar en terreno que la alarma de retroceso funciona y es audible en el entorno de trabajo.</t>
  </si>
  <si>
    <t xml:space="preserve">Diario</t>
  </si>
  <si>
    <t xml:space="preserve">CCP2-ED3</t>
  </si>
  <si>
    <t xml:space="preserve">Baliza / luz estroboscópica</t>
  </si>
  <si>
    <t xml:space="preserve">Verificar en terreno que la baliza o luz estroboscópica funciona.</t>
  </si>
  <si>
    <t xml:space="preserve">CCP2-ED4</t>
  </si>
  <si>
    <t xml:space="preserve">Cámaras y espejos (puntos ciegos)</t>
  </si>
  <si>
    <t xml:space="preserve">Verificar que cámaras y espejos cubren los puntos ciegos, están limpios y sin daño.</t>
  </si>
  <si>
    <t xml:space="preserve">CCP2-ED5</t>
  </si>
  <si>
    <t xml:space="preserve">Prueba funcional en check list de pre-uso</t>
  </si>
  <si>
    <t xml:space="preserve">Revisar el check list de pre-uso del turno y verificar que la prueba funcional del sistema antiatropello está registrada.</t>
  </si>
  <si>
    <t xml:space="preserve">Documental</t>
  </si>
  <si>
    <t xml:space="preserve">CCP2-ED6</t>
  </si>
  <si>
    <t xml:space="preserve">Dispositivo o tag personal</t>
  </si>
  <si>
    <t xml:space="preserve">Verificar que el personal expuesto porta su dispositivo o tag personal operativo y con carga (cuando aplica).</t>
  </si>
  <si>
    <t xml:space="preserve">CCP2-ED7</t>
  </si>
  <si>
    <t xml:space="preserve">Mantención y calibración del sistema</t>
  </si>
  <si>
    <t xml:space="preserve">Solicitar los registros de mantención o calibración vigentes del sistema antiatropello.</t>
  </si>
  <si>
    <t xml:space="preserve">Según fabricante</t>
  </si>
  <si>
    <t xml:space="preserve">CCP2-DV1</t>
  </si>
  <si>
    <t xml:space="preserve">Un vehículo o equipo opera con la alarma de retroceso desconectada, silenciada o con volumen reducido.</t>
  </si>
  <si>
    <t xml:space="preserve">CCP2-DV2</t>
  </si>
  <si>
    <t xml:space="preserve">El sistema antiatropello o de proximidad está puenteado, desactivado o en falla y el equipo continúa operando.</t>
  </si>
  <si>
    <t xml:space="preserve">CCP2-DV3</t>
  </si>
  <si>
    <t xml:space="preserve">Un equipo inicia la operación sin la prueba funcional del sistema registrada en el pre-uso.</t>
  </si>
  <si>
    <t xml:space="preserve">CCP2-DV4</t>
  </si>
  <si>
    <t xml:space="preserve">Personal expuesto ingresa a una zona con sistema por tag sin su dispositivo o con el dispositivo sin carga.</t>
  </si>
  <si>
    <t xml:space="preserve">CCP2-EN1</t>
  </si>
  <si>
    <t xml:space="preserve">Trabajador/a (conductor/a u operador/a): ¿Probé el sistema antiatropello y la alarma de retroceso en el pre-uso, sé interpretar sus alertas y, si falla, detengo el equipo y reporto?</t>
  </si>
  <si>
    <t xml:space="preserve">Entrevistar a conductores y operadores en terreno.</t>
  </si>
  <si>
    <t xml:space="preserve">CCP2-EN2</t>
  </si>
  <si>
    <t xml:space="preserve">Supervisor/a: ¿Verifiqué que los equipos a mi cargo operan con el sistema antiatropello operativo y que ninguno está puenteado o desactivado?</t>
  </si>
  <si>
    <t xml:space="preserve">Entrevistar al supervisor/a del área.</t>
  </si>
  <si>
    <t xml:space="preserve">CCP2-EN3</t>
  </si>
  <si>
    <t xml:space="preserve">Ejecutivo/a: ¿Se asegura que la flota cuenta con sistemas antiatropello según el estándar, con mantención vigente y una regla de detención ante falla?</t>
  </si>
  <si>
    <t xml:space="preserve">CCP3 – ALTA VISIBILIDAD EN PERSONAS, VEHÍCULOS Y EQUIPOS   (Preventivo crítico)</t>
  </si>
  <si>
    <t xml:space="preserve">CCP3-ED1</t>
  </si>
  <si>
    <t xml:space="preserve">CCP3</t>
  </si>
  <si>
    <t xml:space="preserve">Ropa de alta visibilidad certificada</t>
  </si>
  <si>
    <t xml:space="preserve">Verificar que todo el personal en terreno usa ropa o chaleco de alta visibilidad (fluorescente y retrorreflectante) certificado.</t>
  </si>
  <si>
    <t xml:space="preserve">CCP3-ED2</t>
  </si>
  <si>
    <t xml:space="preserve">Estado de la prenda de alta visibilidad</t>
  </si>
  <si>
    <t xml:space="preserve">Verificar que la prenda está limpia, en buen estado, con cintas adheridas y no queda cubierta por otra ropa, arnés u otros elementos.</t>
  </si>
  <si>
    <t xml:space="preserve">CCP3-ED3</t>
  </si>
  <si>
    <t xml:space="preserve">Identificación de vehículos livianos</t>
  </si>
  <si>
    <t xml:space="preserve">Verificar que los vehículos livianos cuentan con baliza, pértiga con banderín y luz cuando el área lo exige.</t>
  </si>
  <si>
    <t xml:space="preserve">CCP3-ED4</t>
  </si>
  <si>
    <t xml:space="preserve">Luces encendidas</t>
  </si>
  <si>
    <t xml:space="preserve">Verificar que vehículos y equipos circulan con las luces encendidas en todo momento.</t>
  </si>
  <si>
    <t xml:space="preserve">CCP3-ED5</t>
  </si>
  <si>
    <t xml:space="preserve">Cintas reflectantes en vehículos y equipos</t>
  </si>
  <si>
    <t xml:space="preserve">Verificar que vehículos y equipos tienen cintas reflectantes en el contorno y la parte trasera, limpias y en buen estado.</t>
  </si>
  <si>
    <t xml:space="preserve">CCP3-ED6</t>
  </si>
  <si>
    <t xml:space="preserve">Señalización de equipos detenidos</t>
  </si>
  <si>
    <t xml:space="preserve">Verificar que los equipos detenidos o estacionados están señalizados (conos, triángulos, baliza).</t>
  </si>
  <si>
    <t xml:space="preserve">Por evento</t>
  </si>
  <si>
    <t xml:space="preserve">CCP3-DV1</t>
  </si>
  <si>
    <t xml:space="preserve">Una persona se encuentra en zona de tránsito de vehículos o equipos sin ropa de alta visibilidad, o con la prenda cubierta, desteñida o con cintas desprendidas.</t>
  </si>
  <si>
    <t xml:space="preserve">CCP3-DV2</t>
  </si>
  <si>
    <t xml:space="preserve">Un vehículo liviano ingresa a un área mina u operativa sin baliza ni pértiga cuando el área lo exige.</t>
  </si>
  <si>
    <t xml:space="preserve">CCP3-DV3</t>
  </si>
  <si>
    <t xml:space="preserve">Un equipo o vehículo detenido en una vía de circulación sin señalización ni iluminación.</t>
  </si>
  <si>
    <t xml:space="preserve">CCP3-EN1</t>
  </si>
  <si>
    <t xml:space="preserve">Trabajador/a: ¿Mi ropa de alta visibilidad está limpia, completa y visible, y la reemplazo cuando se deteriora?</t>
  </si>
  <si>
    <t xml:space="preserve">Entrevistar a trabajadores del área y contrastar con lo observado.</t>
  </si>
  <si>
    <t xml:space="preserve">CCP3-EN2</t>
  </si>
  <si>
    <t xml:space="preserve">Supervisor/a: ¿Verifiqué que mi personal usa ropa de alta visibilidad en buen estado y que los vehículos cuentan con baliza, pértiga y luces?</t>
  </si>
  <si>
    <t xml:space="preserve">CCP3-EN3</t>
  </si>
  <si>
    <t xml:space="preserve">Ejecutivo/a: ¿Se dispone de ropa de alta visibilidad certificada con reposición oportuna y de un estándar de identificación de vehículos?</t>
  </si>
  <si>
    <t xml:space="preserve">CCP4 – COMUNICACIÓN BIDIRECCIONAL EFECTIVA ENTRE PERSONAL Y CONDUCTORES   (Preventivo crítico)</t>
  </si>
  <si>
    <t xml:space="preserve">CCP4-ED1</t>
  </si>
  <si>
    <t xml:space="preserve">CCP4</t>
  </si>
  <si>
    <t xml:space="preserve">Radio operativa en el canal definido</t>
  </si>
  <si>
    <t xml:space="preserve">Verificar que conductores y personal que interactúa con equipos tienen radio operativa, con batería y en el canal definido para el área.</t>
  </si>
  <si>
    <t xml:space="preserve">CCP4-ED2</t>
  </si>
  <si>
    <t xml:space="preserve">Prueba de radio al inicio del turno</t>
  </si>
  <si>
    <t xml:space="preserve">Solicitar el registro de la prueba de radio al inicio del turno y verificarla en terreno.</t>
  </si>
  <si>
    <t xml:space="preserve">CCP4-ED3</t>
  </si>
  <si>
    <t xml:space="preserve">Protocolo de aproximación a equipos</t>
  </si>
  <si>
    <t xml:space="preserve">Solicitar el protocolo y verificar que se aplica: contacto radial y visual con el operador y autorización antes de acercarse.</t>
  </si>
  <si>
    <t xml:space="preserve">CCP4-ED4</t>
  </si>
  <si>
    <t xml:space="preserve">Confirmación de mensajes</t>
  </si>
  <si>
    <t xml:space="preserve">Verificar que los mensajes se confirman (el receptor repite o responde "copiado").</t>
  </si>
  <si>
    <t xml:space="preserve">CCP4-ED5</t>
  </si>
  <si>
    <t xml:space="preserve">Señalero en retrocesos y espacios restringidos</t>
  </si>
  <si>
    <t xml:space="preserve">Verificar que hay señalero designado, capacitado e identificado. Solicitar registros de capacitación.</t>
  </si>
  <si>
    <t xml:space="preserve">CCP4-ED6</t>
  </si>
  <si>
    <t xml:space="preserve">Señales manuales y código de bocina estandarizados</t>
  </si>
  <si>
    <t xml:space="preserve">Solicitar el estándar de señales y código de bocina del área y verificar que el personal lo conoce.</t>
  </si>
  <si>
    <t xml:space="preserve">Anual</t>
  </si>
  <si>
    <t xml:space="preserve">Documental / Entrevista</t>
  </si>
  <si>
    <t xml:space="preserve">CCP4-ED7</t>
  </si>
  <si>
    <t xml:space="preserve">Zonas sin cobertura radial</t>
  </si>
  <si>
    <t xml:space="preserve">Verificar que las zonas sin cobertura radial están identificadas y cuentan con una medida alternativa de comunicación.</t>
  </si>
  <si>
    <t xml:space="preserve">CCP4-DV1</t>
  </si>
  <si>
    <t xml:space="preserve">Una persona se aproxima a un vehículo o equipo en operación sin contacto radial o visual ni autorización del operador.</t>
  </si>
  <si>
    <t xml:space="preserve">CCP4-DV2</t>
  </si>
  <si>
    <t xml:space="preserve">Se realiza un retroceso en espacio restringido o con personas en el entorno sin señalero.</t>
  </si>
  <si>
    <t xml:space="preserve">CCP4-DV3</t>
  </si>
  <si>
    <t xml:space="preserve">Un conductor u operador opera en el área sin radio operativa o fuera del canal definido.</t>
  </si>
  <si>
    <t xml:space="preserve">CCP4-EN1</t>
  </si>
  <si>
    <t xml:space="preserve">Trabajador/a: Antes de acercarme a un equipo, ¿establezco contacto radial y visual con el operador y espero su autorización?</t>
  </si>
  <si>
    <t xml:space="preserve">Entrevistar a trabajadores y conductores en terreno.</t>
  </si>
  <si>
    <t xml:space="preserve">CCP4-EN2</t>
  </si>
  <si>
    <t xml:space="preserve">Supervisor/a: ¿Verifiqué la prueba de radio del turno, la designación de señaleros y que el personal conoce el protocolo de aproximación y el código de bocina?</t>
  </si>
  <si>
    <t xml:space="preserve">CCP4-EN3</t>
  </si>
  <si>
    <t xml:space="preserve">Ejecutivo/a: ¿Se garantiza cobertura radial, equipos de radio suficientes y un protocolo de comunicación estandarizado para toda interacción persona – equipo?</t>
  </si>
  <si>
    <t xml:space="preserve">CCM1 – CAPACIDAD DE RESPUESTA ANTE EMERGENCIA   (Mitigador crítico)</t>
  </si>
  <si>
    <t xml:space="preserve">CCM1-ED1</t>
  </si>
  <si>
    <t xml:space="preserve">CCM1</t>
  </si>
  <si>
    <t xml:space="preserve">Plan de emergencia con escenario de atropello</t>
  </si>
  <si>
    <t xml:space="preserve">Solicitar el plan de emergencia del área y verificar que incluye el escenario de atropello, roles y protocolo de comunicación.</t>
  </si>
  <si>
    <t xml:space="preserve">CCM1-ED2</t>
  </si>
  <si>
    <t xml:space="preserve">Número o canal de emergencia publicado</t>
  </si>
  <si>
    <t xml:space="preserve">Verificar en terreno que el número o canal radial de emergencia está publicado y visible.</t>
  </si>
  <si>
    <t xml:space="preserve">CCM1-ED3</t>
  </si>
  <si>
    <t xml:space="preserve">Personal capacitado en primeros auxilios</t>
  </si>
  <si>
    <t xml:space="preserve">Solicitar registros que demuestren personal capacitado en primeros auxilios en cada turno.</t>
  </si>
  <si>
    <t xml:space="preserve">CCM1-ED4</t>
  </si>
  <si>
    <t xml:space="preserve">Equipamiento de primera respuesta</t>
  </si>
  <si>
    <t xml:space="preserve">Verificar que botiquín, camilla, inmovilizadores y DEA están disponibles, completos y con inspección vigente.</t>
  </si>
  <si>
    <t xml:space="preserve">CCM1-ED5</t>
  </si>
  <si>
    <t xml:space="preserve">Acceso de ambulancia o rescate y tiempo de respuesta</t>
  </si>
  <si>
    <t xml:space="preserve">Verificar que el acceso de ambulancia o equipo de rescate al área está despejado y que el tiempo de respuesta está definido.</t>
  </si>
  <si>
    <t xml:space="preserve">CCM1-ED6</t>
  </si>
  <si>
    <t xml:space="preserve">Simulacro del escenario de atropello</t>
  </si>
  <si>
    <t xml:space="preserve">Solicitar el informe del último simulacro del escenario de atropello y verificar el cierre de sus observaciones.</t>
  </si>
  <si>
    <t xml:space="preserve">CCM1-DV1</t>
  </si>
  <si>
    <t xml:space="preserve">El personal del área desconoce el número o canal de emergencia.</t>
  </si>
  <si>
    <t xml:space="preserve">Entrevista / Terreno</t>
  </si>
  <si>
    <t xml:space="preserve">CCM1-DV2</t>
  </si>
  <si>
    <t xml:space="preserve">El acceso de ambulancia o del equipo de rescate al área está bloqueado.</t>
  </si>
  <si>
    <t xml:space="preserve">CCM1-DV3</t>
  </si>
  <si>
    <t xml:space="preserve">El equipamiento de primera respuesta (botiquín, camilla, DEA) está ausente, incompleto o sin inspección vigente.</t>
  </si>
  <si>
    <t xml:space="preserve">CCM1-EN1</t>
  </si>
  <si>
    <t xml:space="preserve">Trabajador/a: Si ocurre un atropello, ¿sé detener los equipos, asegurar y aislar la escena, dar aviso al número de emergencia y no mover al lesionado?</t>
  </si>
  <si>
    <t xml:space="preserve">Entrevistar a trabajadores del área.</t>
  </si>
  <si>
    <t xml:space="preserve">CCM1-EN2</t>
  </si>
  <si>
    <t xml:space="preserve">Supervisor/a: ¿Verifiqué que mi personal conoce el canal de emergencia, que hay personal con primeros auxilios en el turno y que el equipamiento de respuesta está operativo?</t>
  </si>
  <si>
    <t xml:space="preserve">CCM1-EN3</t>
  </si>
  <si>
    <t xml:space="preserve">Ejecutivo/a: ¿Se dispone de un plan de emergencia probado para el escenario de atropello, con recursos y tiempos de respuesta definidos?</t>
  </si>
  <si>
    <t xml:space="preserve">OBSERVACIONES GENERALES:</t>
  </si>
  <si>
    <t xml:space="preserve">RESUMEN DE AUDITORÍA – RF 27 INTERACCIÓN ENTRE PERSONAS Y VEHÍCULOS / EQUIPOS MÓVILES</t>
  </si>
  <si>
    <t xml:space="preserve">A. CUMPLIMIENTO POR CONTROL</t>
  </si>
  <si>
    <t xml:space="preserve">CÓDIGO</t>
  </si>
  <si>
    <t xml:space="preserve">TIPO</t>
  </si>
  <si>
    <t xml:space="preserve">N° ÍTEMS</t>
  </si>
  <si>
    <t xml:space="preserve">C</t>
  </si>
  <si>
    <t xml:space="preserve">NC</t>
  </si>
  <si>
    <t xml:space="preserve">NA</t>
  </si>
  <si>
    <t xml:space="preserve">Rutas vehiculares y peatonales conforme a diseño</t>
  </si>
  <si>
    <t xml:space="preserve">Preventivo crítico</t>
  </si>
  <si>
    <t xml:space="preserve">Sistema antiatropello y advertencia de proximidad</t>
  </si>
  <si>
    <t xml:space="preserve">Alta visibilidad en personas, vehículos y equipos</t>
  </si>
  <si>
    <t xml:space="preserve">Comunicación bidireccional efectiva entre personal y conductores</t>
  </si>
  <si>
    <t xml:space="preserve">Capacidad de respuesta ante emergencia</t>
  </si>
  <si>
    <t xml:space="preserve">Mitigador crítico</t>
  </si>
  <si>
    <t xml:space="preserve">TOTAL</t>
  </si>
  <si>
    <t xml:space="preserve">B. CUMPLIMIENTO POR COMPONENTE</t>
  </si>
  <si>
    <t xml:space="preserve">C. RESULTADO DE LA AUDITORÍA</t>
  </si>
  <si>
    <t xml:space="preserve">% CUMPLIMIENTO GLOBAL</t>
  </si>
  <si>
    <t xml:space="preserve">CALIFICACIÓN</t>
  </si>
  <si>
    <t xml:space="preserve">Criterio: ≥ 90 % Satisfactorio · 75 % – 89 % Aceptable con observaciones · &lt; 75 % Deficiente · cualquier desviación crítica observada = NO CONFORME. (Umbrales propuestos, ajustables.)</t>
  </si>
  <si>
    <t xml:space="preserve">CONCLUSIONES DEL AUDITOR/A:</t>
  </si>
  <si>
    <t xml:space="preserve">AUDITOR/A LÍDER (NOMBRE, CARGO Y FIRMA):</t>
  </si>
  <si>
    <t xml:space="preserve">DUEÑO/A DEL CONTROL (NOMBRE, CARGO Y FIRMA):</t>
  </si>
  <si>
    <t xml:space="preserve">REVISA (NOMBRE, CARGO Y FIRMA):</t>
  </si>
  <si>
    <t xml:space="preserve">FECHA DE CIERRE DE ACCIONES: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</si>
</sst>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6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name val="Arial"/>
      <family val="0"/>
      <charset val="1"/>
    </font>
    <font>
      <sz val="8"/>
      <name val="Arial"/>
      <family val="0"/>
      <charset val="1"/>
    </font>
    <font>
      <b val="true"/>
      <sz val="7"/>
      <name val="Arial"/>
      <family val="0"/>
      <charset val="1"/>
    </font>
    <font>
      <sz val="7"/>
      <name val="Arial"/>
      <family val="0"/>
      <charset val="1"/>
    </font>
    <font>
      <sz val="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1F1F1"/>
        <bgColor rgb="FFDCE6F1"/>
      </patternFill>
    </fill>
    <fill>
      <patternFill patternType="solid">
        <fgColor rgb="FFB8CCE4"/>
        <bgColor rgb="FFC0C0C0"/>
      </patternFill>
    </fill>
    <fill>
      <patternFill patternType="solid">
        <fgColor rgb="FFDCE6F1"/>
        <bgColor rgb="FFF1F1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006100"/>
        <sz val="7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7"/>
      </font>
      <fill>
        <patternFill>
          <bgColor rgb="FFFFC7CE"/>
        </patternFill>
      </fill>
    </dxf>
    <dxf>
      <fill>
        <patternFill>
          <bgColor rgb="FFF1F1F1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1F1F1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</xdr:col>
      <xdr:colOff>1428120</xdr:colOff>
      <xdr:row>1</xdr:row>
      <xdr:rowOff>170640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41120" y="190440"/>
          <a:ext cx="1428120" cy="170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300600</xdr:colOff>
      <xdr:row>1</xdr:row>
      <xdr:rowOff>170640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141120" y="190440"/>
          <a:ext cx="1428120" cy="170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793800</xdr:colOff>
      <xdr:row>1</xdr:row>
      <xdr:rowOff>170640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41120" y="190440"/>
          <a:ext cx="1428120" cy="170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4" min="3" style="1" width="14"/>
    <col collapsed="false" customWidth="true" hidden="false" outlineLevel="0" max="6" min="5" style="1" width="18"/>
    <col collapsed="false" customWidth="true" hidden="false" outlineLevel="0" max="7" min="7" style="1" width="12"/>
    <col collapsed="false" customWidth="true" hidden="false" outlineLevel="0" max="8" min="8" style="1" width="14"/>
  </cols>
  <sheetData>
    <row r="2" customFormat="false" ht="25.5" hidden="false" customHeight="true" outlineLevel="0" collapsed="false">
      <c r="B2" s="2"/>
      <c r="C2" s="3" t="s">
        <v>0</v>
      </c>
      <c r="D2" s="3"/>
      <c r="E2" s="3"/>
      <c r="F2" s="3"/>
      <c r="G2" s="4" t="s">
        <v>1</v>
      </c>
      <c r="H2" s="4"/>
    </row>
    <row r="3" customFormat="false" ht="15" hidden="false" customHeight="true" outlineLevel="0" collapsed="false">
      <c r="B3" s="2"/>
      <c r="C3" s="5" t="s">
        <v>2</v>
      </c>
      <c r="D3" s="5"/>
      <c r="E3" s="5"/>
      <c r="F3" s="5"/>
      <c r="G3" s="6" t="s">
        <v>3</v>
      </c>
      <c r="H3" s="6"/>
    </row>
    <row r="4" customFormat="false" ht="15" hidden="false" customHeight="true" outlineLevel="0" collapsed="false">
      <c r="B4" s="2"/>
      <c r="C4" s="5"/>
      <c r="D4" s="5"/>
      <c r="E4" s="5"/>
      <c r="F4" s="5"/>
      <c r="G4" s="6" t="s">
        <v>4</v>
      </c>
      <c r="H4" s="6" t="s">
        <v>5</v>
      </c>
    </row>
    <row r="6" customFormat="false" ht="37.5" hidden="false" customHeight="true" outlineLevel="0" collapsed="false">
      <c r="B6" s="7" t="s">
        <v>6</v>
      </c>
      <c r="C6" s="8" t="s">
        <v>7</v>
      </c>
      <c r="D6" s="8"/>
      <c r="E6" s="8"/>
      <c r="F6" s="8"/>
      <c r="G6" s="8"/>
      <c r="H6" s="8"/>
    </row>
    <row r="7" customFormat="false" ht="37.5" hidden="false" customHeight="true" outlineLevel="0" collapsed="false">
      <c r="B7" s="7" t="s">
        <v>8</v>
      </c>
      <c r="C7" s="8" t="s">
        <v>9</v>
      </c>
      <c r="D7" s="8"/>
      <c r="E7" s="8"/>
      <c r="F7" s="8"/>
      <c r="G7" s="8"/>
      <c r="H7" s="8"/>
    </row>
    <row r="8" customFormat="false" ht="37.5" hidden="false" customHeight="true" outlineLevel="0" collapsed="false">
      <c r="B8" s="7" t="s">
        <v>10</v>
      </c>
      <c r="C8" s="8" t="s">
        <v>11</v>
      </c>
      <c r="D8" s="8"/>
      <c r="E8" s="8"/>
      <c r="F8" s="8"/>
      <c r="G8" s="8"/>
      <c r="H8" s="8"/>
    </row>
    <row r="9" customFormat="false" ht="37.5" hidden="false" customHeight="true" outlineLevel="0" collapsed="false">
      <c r="B9" s="7" t="s">
        <v>12</v>
      </c>
      <c r="C9" s="8" t="s">
        <v>13</v>
      </c>
      <c r="D9" s="8"/>
      <c r="E9" s="8"/>
      <c r="F9" s="8"/>
      <c r="G9" s="8"/>
      <c r="H9" s="8"/>
    </row>
    <row r="10" customFormat="false" ht="37.5" hidden="false" customHeight="true" outlineLevel="0" collapsed="false">
      <c r="B10" s="7" t="s">
        <v>14</v>
      </c>
      <c r="C10" s="8" t="s">
        <v>15</v>
      </c>
      <c r="D10" s="8"/>
      <c r="E10" s="8"/>
      <c r="F10" s="8"/>
      <c r="G10" s="8"/>
      <c r="H10" s="8"/>
    </row>
    <row r="11" customFormat="false" ht="37.5" hidden="false" customHeight="true" outlineLevel="0" collapsed="false">
      <c r="B11" s="7" t="s">
        <v>16</v>
      </c>
      <c r="C11" s="8" t="s">
        <v>17</v>
      </c>
      <c r="D11" s="8"/>
      <c r="E11" s="8"/>
      <c r="F11" s="8"/>
      <c r="G11" s="8"/>
      <c r="H11" s="8"/>
    </row>
    <row r="12" customFormat="false" ht="37.5" hidden="false" customHeight="true" outlineLevel="0" collapsed="false">
      <c r="B12" s="7" t="s">
        <v>18</v>
      </c>
      <c r="C12" s="8" t="s">
        <v>19</v>
      </c>
      <c r="D12" s="8"/>
      <c r="E12" s="8"/>
      <c r="F12" s="8"/>
      <c r="G12" s="8"/>
      <c r="H12" s="8"/>
    </row>
    <row r="13" customFormat="false" ht="37.5" hidden="false" customHeight="true" outlineLevel="0" collapsed="false">
      <c r="B13" s="7" t="s">
        <v>20</v>
      </c>
      <c r="C13" s="8" t="s">
        <v>21</v>
      </c>
      <c r="D13" s="8"/>
      <c r="E13" s="8"/>
      <c r="F13" s="8"/>
      <c r="G13" s="8"/>
      <c r="H13" s="8"/>
    </row>
    <row r="14" customFormat="false" ht="37.5" hidden="false" customHeight="true" outlineLevel="0" collapsed="false">
      <c r="B14" s="7" t="s">
        <v>22</v>
      </c>
      <c r="C14" s="8" t="s">
        <v>23</v>
      </c>
      <c r="D14" s="8"/>
      <c r="E14" s="8"/>
      <c r="F14" s="8"/>
      <c r="G14" s="8"/>
      <c r="H14" s="8"/>
    </row>
  </sheetData>
  <mergeCells count="14">
    <mergeCell ref="B2:B4"/>
    <mergeCell ref="C2:F2"/>
    <mergeCell ref="G2:H2"/>
    <mergeCell ref="C3:F4"/>
    <mergeCell ref="G3:H3"/>
    <mergeCell ref="C6:H6"/>
    <mergeCell ref="C7:H7"/>
    <mergeCell ref="C8:H8"/>
    <mergeCell ref="C9:H9"/>
    <mergeCell ref="C10:H10"/>
    <mergeCell ref="C11:H11"/>
    <mergeCell ref="C12:H12"/>
    <mergeCell ref="C13:H13"/>
    <mergeCell ref="C14:H14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8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9"/>
    <col collapsed="false" customWidth="true" hidden="false" outlineLevel="0" max="3" min="3" style="1" width="7"/>
    <col collapsed="false" customWidth="true" hidden="false" outlineLevel="0" max="4" min="4" style="1" width="13"/>
    <col collapsed="false" customWidth="true" hidden="false" outlineLevel="0" max="6" min="5" style="1" width="42"/>
    <col collapsed="false" customWidth="true" hidden="false" outlineLevel="0" max="7" min="7" style="1" width="10"/>
    <col collapsed="false" customWidth="true" hidden="false" outlineLevel="0" max="8" min="8" style="1" width="11"/>
    <col collapsed="false" customWidth="true" hidden="false" outlineLevel="0" max="9" min="9" style="1" width="10"/>
    <col collapsed="false" customWidth="true" hidden="false" outlineLevel="0" max="10" min="10" style="1" width="28"/>
    <col collapsed="false" customWidth="true" hidden="false" outlineLevel="0" max="11" min="11" style="1" width="26"/>
    <col collapsed="false" customWidth="true" hidden="false" outlineLevel="0" max="12" min="12" style="1" width="14"/>
    <col collapsed="false" customWidth="true" hidden="false" outlineLevel="0" max="13" min="13" style="1" width="13"/>
  </cols>
  <sheetData>
    <row r="2" customFormat="false" ht="18" hidden="false" customHeight="true" outlineLevel="0" collapsed="false">
      <c r="B2" s="2"/>
      <c r="C2" s="2"/>
      <c r="D2" s="2"/>
      <c r="E2" s="3" t="s">
        <v>0</v>
      </c>
      <c r="F2" s="3"/>
      <c r="G2" s="3"/>
      <c r="H2" s="3"/>
      <c r="I2" s="3"/>
      <c r="J2" s="3"/>
      <c r="K2" s="4" t="s">
        <v>1</v>
      </c>
      <c r="L2" s="4"/>
      <c r="M2" s="4"/>
    </row>
    <row r="3" customFormat="false" ht="15" hidden="false" customHeight="true" outlineLevel="0" collapsed="false">
      <c r="B3" s="2"/>
      <c r="C3" s="2"/>
      <c r="D3" s="2"/>
      <c r="E3" s="5" t="s">
        <v>2</v>
      </c>
      <c r="F3" s="5"/>
      <c r="G3" s="5"/>
      <c r="H3" s="5"/>
      <c r="I3" s="5"/>
      <c r="J3" s="5"/>
      <c r="K3" s="6" t="s">
        <v>3</v>
      </c>
      <c r="L3" s="6"/>
      <c r="M3" s="6"/>
    </row>
    <row r="4" customFormat="false" ht="15" hidden="false" customHeight="true" outlineLevel="0" collapsed="false">
      <c r="B4" s="2"/>
      <c r="C4" s="2"/>
      <c r="D4" s="2"/>
      <c r="E4" s="5"/>
      <c r="F4" s="5"/>
      <c r="G4" s="5"/>
      <c r="H4" s="5"/>
      <c r="I4" s="5"/>
      <c r="J4" s="5"/>
      <c r="K4" s="6" t="s">
        <v>4</v>
      </c>
      <c r="L4" s="6"/>
      <c r="M4" s="6" t="s">
        <v>5</v>
      </c>
    </row>
    <row r="6" customFormat="false" ht="21.75" hidden="false" customHeight="true" outlineLevel="0" collapsed="false">
      <c r="B6" s="9" t="s">
        <v>24</v>
      </c>
      <c r="C6" s="9"/>
      <c r="D6" s="9"/>
      <c r="E6" s="9"/>
      <c r="F6" s="9" t="s">
        <v>25</v>
      </c>
      <c r="G6" s="9"/>
      <c r="H6" s="9"/>
      <c r="I6" s="9" t="s">
        <v>26</v>
      </c>
      <c r="J6" s="9"/>
      <c r="K6" s="9"/>
      <c r="L6" s="9"/>
      <c r="M6" s="9"/>
    </row>
    <row r="7" customFormat="false" ht="21.75" hidden="false" customHeight="true" outlineLevel="0" collapsed="false">
      <c r="B7" s="9" t="s">
        <v>27</v>
      </c>
      <c r="C7" s="9"/>
      <c r="D7" s="9"/>
      <c r="E7" s="9"/>
      <c r="F7" s="9" t="s">
        <v>28</v>
      </c>
      <c r="G7" s="9"/>
      <c r="H7" s="9"/>
      <c r="I7" s="9" t="s">
        <v>29</v>
      </c>
      <c r="J7" s="9"/>
      <c r="K7" s="9"/>
      <c r="L7" s="9" t="s">
        <v>30</v>
      </c>
      <c r="M7" s="9"/>
    </row>
    <row r="9" customFormat="false" ht="30" hidden="false" customHeight="true" outlineLevel="0" collapsed="false">
      <c r="B9" s="10" t="s">
        <v>31</v>
      </c>
      <c r="C9" s="10" t="s">
        <v>32</v>
      </c>
      <c r="D9" s="10" t="s">
        <v>33</v>
      </c>
      <c r="E9" s="10" t="s">
        <v>34</v>
      </c>
      <c r="F9" s="10" t="s">
        <v>35</v>
      </c>
      <c r="G9" s="10" t="s">
        <v>36</v>
      </c>
      <c r="H9" s="10" t="s">
        <v>37</v>
      </c>
      <c r="I9" s="10" t="s">
        <v>38</v>
      </c>
      <c r="J9" s="10" t="s">
        <v>39</v>
      </c>
      <c r="K9" s="10" t="s">
        <v>40</v>
      </c>
      <c r="L9" s="10" t="s">
        <v>41</v>
      </c>
      <c r="M9" s="10" t="s">
        <v>42</v>
      </c>
    </row>
    <row r="10" customFormat="false" ht="15" hidden="false" customHeight="true" outlineLevel="0" collapsed="false">
      <c r="B10" s="11" t="s">
        <v>43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customFormat="false" ht="47.25" hidden="false" customHeight="true" outlineLevel="0" collapsed="false">
      <c r="B11" s="12" t="s">
        <v>44</v>
      </c>
      <c r="C11" s="12" t="s">
        <v>45</v>
      </c>
      <c r="D11" s="12" t="s">
        <v>46</v>
      </c>
      <c r="E11" s="13" t="s">
        <v>47</v>
      </c>
      <c r="F11" s="13" t="s">
        <v>48</v>
      </c>
      <c r="G11" s="12" t="s">
        <v>49</v>
      </c>
      <c r="H11" s="12" t="s">
        <v>50</v>
      </c>
      <c r="I11" s="12"/>
      <c r="J11" s="13"/>
      <c r="K11" s="13"/>
      <c r="L11" s="12"/>
      <c r="M11" s="12"/>
    </row>
    <row r="12" customFormat="false" ht="37.5" hidden="false" customHeight="true" outlineLevel="0" collapsed="false">
      <c r="B12" s="12" t="s">
        <v>51</v>
      </c>
      <c r="C12" s="12" t="s">
        <v>45</v>
      </c>
      <c r="D12" s="12" t="s">
        <v>46</v>
      </c>
      <c r="E12" s="13" t="s">
        <v>52</v>
      </c>
      <c r="F12" s="13" t="s">
        <v>53</v>
      </c>
      <c r="G12" s="12" t="s">
        <v>54</v>
      </c>
      <c r="H12" s="12" t="s">
        <v>55</v>
      </c>
      <c r="I12" s="12"/>
      <c r="J12" s="13"/>
      <c r="K12" s="13"/>
      <c r="L12" s="12"/>
      <c r="M12" s="12"/>
    </row>
    <row r="13" customFormat="false" ht="28.5" hidden="false" customHeight="true" outlineLevel="0" collapsed="false">
      <c r="B13" s="12" t="s">
        <v>56</v>
      </c>
      <c r="C13" s="12" t="s">
        <v>45</v>
      </c>
      <c r="D13" s="12" t="s">
        <v>46</v>
      </c>
      <c r="E13" s="13" t="s">
        <v>57</v>
      </c>
      <c r="F13" s="13" t="s">
        <v>58</v>
      </c>
      <c r="G13" s="12" t="s">
        <v>59</v>
      </c>
      <c r="H13" s="12" t="s">
        <v>55</v>
      </c>
      <c r="I13" s="12"/>
      <c r="J13" s="13"/>
      <c r="K13" s="13"/>
      <c r="L13" s="12"/>
      <c r="M13" s="12"/>
    </row>
    <row r="14" customFormat="false" ht="28.5" hidden="false" customHeight="true" outlineLevel="0" collapsed="false">
      <c r="B14" s="12" t="s">
        <v>60</v>
      </c>
      <c r="C14" s="12" t="s">
        <v>45</v>
      </c>
      <c r="D14" s="12" t="s">
        <v>46</v>
      </c>
      <c r="E14" s="13" t="s">
        <v>61</v>
      </c>
      <c r="F14" s="13" t="s">
        <v>62</v>
      </c>
      <c r="G14" s="12" t="s">
        <v>59</v>
      </c>
      <c r="H14" s="12" t="s">
        <v>55</v>
      </c>
      <c r="I14" s="12"/>
      <c r="J14" s="13"/>
      <c r="K14" s="13"/>
      <c r="L14" s="12"/>
      <c r="M14" s="12"/>
    </row>
    <row r="15" customFormat="false" ht="28.5" hidden="false" customHeight="true" outlineLevel="0" collapsed="false">
      <c r="B15" s="12" t="s">
        <v>63</v>
      </c>
      <c r="C15" s="12" t="s">
        <v>45</v>
      </c>
      <c r="D15" s="12" t="s">
        <v>46</v>
      </c>
      <c r="E15" s="13" t="s">
        <v>64</v>
      </c>
      <c r="F15" s="13" t="s">
        <v>65</v>
      </c>
      <c r="G15" s="12" t="s">
        <v>66</v>
      </c>
      <c r="H15" s="12" t="s">
        <v>55</v>
      </c>
      <c r="I15" s="12"/>
      <c r="J15" s="13"/>
      <c r="K15" s="13"/>
      <c r="L15" s="12"/>
      <c r="M15" s="12"/>
    </row>
    <row r="16" customFormat="false" ht="18.75" hidden="false" customHeight="true" outlineLevel="0" collapsed="false">
      <c r="B16" s="12" t="s">
        <v>67</v>
      </c>
      <c r="C16" s="12" t="s">
        <v>45</v>
      </c>
      <c r="D16" s="12" t="s">
        <v>46</v>
      </c>
      <c r="E16" s="13" t="s">
        <v>68</v>
      </c>
      <c r="F16" s="13" t="s">
        <v>69</v>
      </c>
      <c r="G16" s="12" t="s">
        <v>59</v>
      </c>
      <c r="H16" s="12" t="s">
        <v>50</v>
      </c>
      <c r="I16" s="12"/>
      <c r="J16" s="13"/>
      <c r="K16" s="13"/>
      <c r="L16" s="12"/>
      <c r="M16" s="12"/>
    </row>
    <row r="17" customFormat="false" ht="37.5" hidden="false" customHeight="true" outlineLevel="0" collapsed="false">
      <c r="B17" s="12" t="s">
        <v>70</v>
      </c>
      <c r="C17" s="12" t="s">
        <v>45</v>
      </c>
      <c r="D17" s="12" t="s">
        <v>46</v>
      </c>
      <c r="E17" s="13" t="s">
        <v>71</v>
      </c>
      <c r="F17" s="13" t="s">
        <v>72</v>
      </c>
      <c r="G17" s="12" t="s">
        <v>59</v>
      </c>
      <c r="H17" s="12" t="s">
        <v>50</v>
      </c>
      <c r="I17" s="12"/>
      <c r="J17" s="13"/>
      <c r="K17" s="13"/>
      <c r="L17" s="12"/>
      <c r="M17" s="12"/>
    </row>
    <row r="18" customFormat="false" ht="28.5" hidden="false" customHeight="true" outlineLevel="0" collapsed="false">
      <c r="B18" s="12" t="s">
        <v>73</v>
      </c>
      <c r="C18" s="12" t="s">
        <v>45</v>
      </c>
      <c r="D18" s="14" t="s">
        <v>74</v>
      </c>
      <c r="E18" s="13" t="s">
        <v>75</v>
      </c>
      <c r="F18" s="13" t="s">
        <v>76</v>
      </c>
      <c r="G18" s="12" t="s">
        <v>77</v>
      </c>
      <c r="H18" s="12" t="s">
        <v>55</v>
      </c>
      <c r="I18" s="12"/>
      <c r="J18" s="13"/>
      <c r="K18" s="13"/>
      <c r="L18" s="12"/>
      <c r="M18" s="12"/>
    </row>
    <row r="19" customFormat="false" ht="28.5" hidden="false" customHeight="true" outlineLevel="0" collapsed="false">
      <c r="B19" s="12" t="s">
        <v>78</v>
      </c>
      <c r="C19" s="12" t="s">
        <v>45</v>
      </c>
      <c r="D19" s="14" t="s">
        <v>74</v>
      </c>
      <c r="E19" s="13" t="s">
        <v>79</v>
      </c>
      <c r="F19" s="13" t="s">
        <v>76</v>
      </c>
      <c r="G19" s="12" t="s">
        <v>77</v>
      </c>
      <c r="H19" s="12" t="s">
        <v>55</v>
      </c>
      <c r="I19" s="12"/>
      <c r="J19" s="13"/>
      <c r="K19" s="13"/>
      <c r="L19" s="12"/>
      <c r="M19" s="12"/>
    </row>
    <row r="20" customFormat="false" ht="28.5" hidden="false" customHeight="true" outlineLevel="0" collapsed="false">
      <c r="B20" s="12" t="s">
        <v>80</v>
      </c>
      <c r="C20" s="12" t="s">
        <v>45</v>
      </c>
      <c r="D20" s="14" t="s">
        <v>74</v>
      </c>
      <c r="E20" s="13" t="s">
        <v>81</v>
      </c>
      <c r="F20" s="13" t="s">
        <v>76</v>
      </c>
      <c r="G20" s="12" t="s">
        <v>77</v>
      </c>
      <c r="H20" s="12" t="s">
        <v>55</v>
      </c>
      <c r="I20" s="12"/>
      <c r="J20" s="13"/>
      <c r="K20" s="13"/>
      <c r="L20" s="12"/>
      <c r="M20" s="12"/>
    </row>
    <row r="21" customFormat="false" ht="28.5" hidden="false" customHeight="true" outlineLevel="0" collapsed="false">
      <c r="B21" s="12" t="s">
        <v>82</v>
      </c>
      <c r="C21" s="12" t="s">
        <v>45</v>
      </c>
      <c r="D21" s="14" t="s">
        <v>74</v>
      </c>
      <c r="E21" s="13" t="s">
        <v>83</v>
      </c>
      <c r="F21" s="13" t="s">
        <v>76</v>
      </c>
      <c r="G21" s="12" t="s">
        <v>77</v>
      </c>
      <c r="H21" s="12" t="s">
        <v>50</v>
      </c>
      <c r="I21" s="12"/>
      <c r="J21" s="13"/>
      <c r="K21" s="13"/>
      <c r="L21" s="12"/>
      <c r="M21" s="12"/>
    </row>
    <row r="22" customFormat="false" ht="28.5" hidden="false" customHeight="true" outlineLevel="0" collapsed="false">
      <c r="B22" s="12" t="s">
        <v>84</v>
      </c>
      <c r="C22" s="12" t="s">
        <v>45</v>
      </c>
      <c r="D22" s="12" t="s">
        <v>85</v>
      </c>
      <c r="E22" s="13" t="s">
        <v>86</v>
      </c>
      <c r="F22" s="13" t="s">
        <v>87</v>
      </c>
      <c r="G22" s="12" t="s">
        <v>77</v>
      </c>
      <c r="H22" s="12" t="s">
        <v>85</v>
      </c>
      <c r="I22" s="12"/>
      <c r="J22" s="13"/>
      <c r="K22" s="13"/>
      <c r="L22" s="12"/>
      <c r="M22" s="12"/>
    </row>
    <row r="23" customFormat="false" ht="37.5" hidden="false" customHeight="true" outlineLevel="0" collapsed="false">
      <c r="B23" s="12" t="s">
        <v>88</v>
      </c>
      <c r="C23" s="12" t="s">
        <v>45</v>
      </c>
      <c r="D23" s="12" t="s">
        <v>85</v>
      </c>
      <c r="E23" s="13" t="s">
        <v>89</v>
      </c>
      <c r="F23" s="13" t="s">
        <v>90</v>
      </c>
      <c r="G23" s="12" t="s">
        <v>77</v>
      </c>
      <c r="H23" s="12" t="s">
        <v>85</v>
      </c>
      <c r="I23" s="12"/>
      <c r="J23" s="13"/>
      <c r="K23" s="13"/>
      <c r="L23" s="12"/>
      <c r="M23" s="12"/>
    </row>
    <row r="24" customFormat="false" ht="37.5" hidden="false" customHeight="true" outlineLevel="0" collapsed="false">
      <c r="B24" s="12" t="s">
        <v>91</v>
      </c>
      <c r="C24" s="12" t="s">
        <v>45</v>
      </c>
      <c r="D24" s="12" t="s">
        <v>85</v>
      </c>
      <c r="E24" s="13" t="s">
        <v>92</v>
      </c>
      <c r="F24" s="13" t="s">
        <v>93</v>
      </c>
      <c r="G24" s="12" t="s">
        <v>77</v>
      </c>
      <c r="H24" s="12" t="s">
        <v>85</v>
      </c>
      <c r="I24" s="12"/>
      <c r="J24" s="13"/>
      <c r="K24" s="13"/>
      <c r="L24" s="12"/>
      <c r="M24" s="12"/>
    </row>
    <row r="25" customFormat="false" ht="15" hidden="false" customHeight="true" outlineLevel="0" collapsed="false">
      <c r="B25" s="11" t="s">
        <v>94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customFormat="false" ht="28.5" hidden="false" customHeight="true" outlineLevel="0" collapsed="false">
      <c r="B26" s="12" t="s">
        <v>95</v>
      </c>
      <c r="C26" s="12" t="s">
        <v>96</v>
      </c>
      <c r="D26" s="12" t="s">
        <v>46</v>
      </c>
      <c r="E26" s="13" t="s">
        <v>97</v>
      </c>
      <c r="F26" s="13" t="s">
        <v>98</v>
      </c>
      <c r="G26" s="12" t="s">
        <v>59</v>
      </c>
      <c r="H26" s="12" t="s">
        <v>55</v>
      </c>
      <c r="I26" s="12"/>
      <c r="J26" s="13"/>
      <c r="K26" s="13"/>
      <c r="L26" s="12"/>
      <c r="M26" s="12"/>
    </row>
    <row r="27" customFormat="false" ht="18.75" hidden="false" customHeight="true" outlineLevel="0" collapsed="false">
      <c r="B27" s="12" t="s">
        <v>99</v>
      </c>
      <c r="C27" s="12" t="s">
        <v>96</v>
      </c>
      <c r="D27" s="12" t="s">
        <v>46</v>
      </c>
      <c r="E27" s="13" t="s">
        <v>100</v>
      </c>
      <c r="F27" s="13" t="s">
        <v>101</v>
      </c>
      <c r="G27" s="12" t="s">
        <v>102</v>
      </c>
      <c r="H27" s="12" t="s">
        <v>55</v>
      </c>
      <c r="I27" s="12"/>
      <c r="J27" s="13"/>
      <c r="K27" s="13"/>
      <c r="L27" s="12"/>
      <c r="M27" s="12"/>
    </row>
    <row r="28" customFormat="false" ht="18.75" hidden="false" customHeight="true" outlineLevel="0" collapsed="false">
      <c r="B28" s="12" t="s">
        <v>103</v>
      </c>
      <c r="C28" s="12" t="s">
        <v>96</v>
      </c>
      <c r="D28" s="12" t="s">
        <v>46</v>
      </c>
      <c r="E28" s="13" t="s">
        <v>104</v>
      </c>
      <c r="F28" s="13" t="s">
        <v>105</v>
      </c>
      <c r="G28" s="12" t="s">
        <v>102</v>
      </c>
      <c r="H28" s="12" t="s">
        <v>55</v>
      </c>
      <c r="I28" s="12"/>
      <c r="J28" s="13"/>
      <c r="K28" s="13"/>
      <c r="L28" s="12"/>
      <c r="M28" s="12"/>
    </row>
    <row r="29" customFormat="false" ht="18.75" hidden="false" customHeight="true" outlineLevel="0" collapsed="false">
      <c r="B29" s="12" t="s">
        <v>106</v>
      </c>
      <c r="C29" s="12" t="s">
        <v>96</v>
      </c>
      <c r="D29" s="12" t="s">
        <v>46</v>
      </c>
      <c r="E29" s="13" t="s">
        <v>107</v>
      </c>
      <c r="F29" s="13" t="s">
        <v>108</v>
      </c>
      <c r="G29" s="12" t="s">
        <v>102</v>
      </c>
      <c r="H29" s="12" t="s">
        <v>55</v>
      </c>
      <c r="I29" s="12"/>
      <c r="J29" s="13"/>
      <c r="K29" s="13"/>
      <c r="L29" s="12"/>
      <c r="M29" s="12"/>
    </row>
    <row r="30" customFormat="false" ht="28.5" hidden="false" customHeight="true" outlineLevel="0" collapsed="false">
      <c r="B30" s="12" t="s">
        <v>109</v>
      </c>
      <c r="C30" s="12" t="s">
        <v>96</v>
      </c>
      <c r="D30" s="12" t="s">
        <v>46</v>
      </c>
      <c r="E30" s="13" t="s">
        <v>110</v>
      </c>
      <c r="F30" s="13" t="s">
        <v>111</v>
      </c>
      <c r="G30" s="12" t="s">
        <v>102</v>
      </c>
      <c r="H30" s="12" t="s">
        <v>112</v>
      </c>
      <c r="I30" s="12"/>
      <c r="J30" s="13"/>
      <c r="K30" s="13"/>
      <c r="L30" s="12"/>
      <c r="M30" s="12"/>
    </row>
    <row r="31" customFormat="false" ht="28.5" hidden="false" customHeight="true" outlineLevel="0" collapsed="false">
      <c r="B31" s="12" t="s">
        <v>113</v>
      </c>
      <c r="C31" s="12" t="s">
        <v>96</v>
      </c>
      <c r="D31" s="12" t="s">
        <v>46</v>
      </c>
      <c r="E31" s="13" t="s">
        <v>114</v>
      </c>
      <c r="F31" s="13" t="s">
        <v>115</v>
      </c>
      <c r="G31" s="12" t="s">
        <v>102</v>
      </c>
      <c r="H31" s="12" t="s">
        <v>55</v>
      </c>
      <c r="I31" s="12"/>
      <c r="J31" s="13"/>
      <c r="K31" s="13"/>
      <c r="L31" s="12"/>
      <c r="M31" s="12"/>
    </row>
    <row r="32" customFormat="false" ht="18.75" hidden="false" customHeight="true" outlineLevel="0" collapsed="false">
      <c r="B32" s="12" t="s">
        <v>116</v>
      </c>
      <c r="C32" s="12" t="s">
        <v>96</v>
      </c>
      <c r="D32" s="12" t="s">
        <v>46</v>
      </c>
      <c r="E32" s="13" t="s">
        <v>117</v>
      </c>
      <c r="F32" s="13" t="s">
        <v>118</v>
      </c>
      <c r="G32" s="12" t="s">
        <v>119</v>
      </c>
      <c r="H32" s="12" t="s">
        <v>112</v>
      </c>
      <c r="I32" s="12"/>
      <c r="J32" s="13"/>
      <c r="K32" s="13"/>
      <c r="L32" s="12"/>
      <c r="M32" s="12"/>
    </row>
    <row r="33" customFormat="false" ht="28.5" hidden="false" customHeight="true" outlineLevel="0" collapsed="false">
      <c r="B33" s="12" t="s">
        <v>120</v>
      </c>
      <c r="C33" s="12" t="s">
        <v>96</v>
      </c>
      <c r="D33" s="14" t="s">
        <v>74</v>
      </c>
      <c r="E33" s="13" t="s">
        <v>121</v>
      </c>
      <c r="F33" s="13" t="s">
        <v>76</v>
      </c>
      <c r="G33" s="12" t="s">
        <v>77</v>
      </c>
      <c r="H33" s="12" t="s">
        <v>55</v>
      </c>
      <c r="I33" s="12"/>
      <c r="J33" s="13"/>
      <c r="K33" s="13"/>
      <c r="L33" s="12"/>
      <c r="M33" s="12"/>
    </row>
    <row r="34" customFormat="false" ht="28.5" hidden="false" customHeight="true" outlineLevel="0" collapsed="false">
      <c r="B34" s="12" t="s">
        <v>122</v>
      </c>
      <c r="C34" s="12" t="s">
        <v>96</v>
      </c>
      <c r="D34" s="14" t="s">
        <v>74</v>
      </c>
      <c r="E34" s="13" t="s">
        <v>123</v>
      </c>
      <c r="F34" s="13" t="s">
        <v>76</v>
      </c>
      <c r="G34" s="12" t="s">
        <v>77</v>
      </c>
      <c r="H34" s="12" t="s">
        <v>55</v>
      </c>
      <c r="I34" s="12"/>
      <c r="J34" s="13"/>
      <c r="K34" s="13"/>
      <c r="L34" s="12"/>
      <c r="M34" s="12"/>
    </row>
    <row r="35" customFormat="false" ht="18.75" hidden="false" customHeight="true" outlineLevel="0" collapsed="false">
      <c r="B35" s="12" t="s">
        <v>124</v>
      </c>
      <c r="C35" s="12" t="s">
        <v>96</v>
      </c>
      <c r="D35" s="14" t="s">
        <v>74</v>
      </c>
      <c r="E35" s="13" t="s">
        <v>125</v>
      </c>
      <c r="F35" s="13" t="s">
        <v>76</v>
      </c>
      <c r="G35" s="12" t="s">
        <v>77</v>
      </c>
      <c r="H35" s="12" t="s">
        <v>50</v>
      </c>
      <c r="I35" s="12"/>
      <c r="J35" s="13"/>
      <c r="K35" s="13"/>
      <c r="L35" s="12"/>
      <c r="M35" s="12"/>
    </row>
    <row r="36" customFormat="false" ht="28.5" hidden="false" customHeight="true" outlineLevel="0" collapsed="false">
      <c r="B36" s="12" t="s">
        <v>126</v>
      </c>
      <c r="C36" s="12" t="s">
        <v>96</v>
      </c>
      <c r="D36" s="14" t="s">
        <v>74</v>
      </c>
      <c r="E36" s="13" t="s">
        <v>127</v>
      </c>
      <c r="F36" s="13" t="s">
        <v>76</v>
      </c>
      <c r="G36" s="12" t="s">
        <v>77</v>
      </c>
      <c r="H36" s="12" t="s">
        <v>55</v>
      </c>
      <c r="I36" s="12"/>
      <c r="J36" s="13"/>
      <c r="K36" s="13"/>
      <c r="L36" s="12"/>
      <c r="M36" s="12"/>
    </row>
    <row r="37" customFormat="false" ht="37.5" hidden="false" customHeight="true" outlineLevel="0" collapsed="false">
      <c r="B37" s="12" t="s">
        <v>128</v>
      </c>
      <c r="C37" s="12" t="s">
        <v>96</v>
      </c>
      <c r="D37" s="12" t="s">
        <v>85</v>
      </c>
      <c r="E37" s="13" t="s">
        <v>129</v>
      </c>
      <c r="F37" s="13" t="s">
        <v>130</v>
      </c>
      <c r="G37" s="12" t="s">
        <v>77</v>
      </c>
      <c r="H37" s="12" t="s">
        <v>85</v>
      </c>
      <c r="I37" s="12"/>
      <c r="J37" s="13"/>
      <c r="K37" s="13"/>
      <c r="L37" s="12"/>
      <c r="M37" s="12"/>
    </row>
    <row r="38" customFormat="false" ht="28.5" hidden="false" customHeight="true" outlineLevel="0" collapsed="false">
      <c r="B38" s="12" t="s">
        <v>131</v>
      </c>
      <c r="C38" s="12" t="s">
        <v>96</v>
      </c>
      <c r="D38" s="12" t="s">
        <v>85</v>
      </c>
      <c r="E38" s="13" t="s">
        <v>132</v>
      </c>
      <c r="F38" s="13" t="s">
        <v>133</v>
      </c>
      <c r="G38" s="12" t="s">
        <v>77</v>
      </c>
      <c r="H38" s="12" t="s">
        <v>85</v>
      </c>
      <c r="I38" s="12"/>
      <c r="J38" s="13"/>
      <c r="K38" s="13"/>
      <c r="L38" s="12"/>
      <c r="M38" s="12"/>
    </row>
    <row r="39" customFormat="false" ht="37.5" hidden="false" customHeight="true" outlineLevel="0" collapsed="false">
      <c r="B39" s="12" t="s">
        <v>134</v>
      </c>
      <c r="C39" s="12" t="s">
        <v>96</v>
      </c>
      <c r="D39" s="12" t="s">
        <v>85</v>
      </c>
      <c r="E39" s="13" t="s">
        <v>135</v>
      </c>
      <c r="F39" s="13" t="s">
        <v>93</v>
      </c>
      <c r="G39" s="12" t="s">
        <v>77</v>
      </c>
      <c r="H39" s="12" t="s">
        <v>85</v>
      </c>
      <c r="I39" s="12"/>
      <c r="J39" s="13"/>
      <c r="K39" s="13"/>
      <c r="L39" s="12"/>
      <c r="M39" s="12"/>
    </row>
    <row r="40" customFormat="false" ht="15" hidden="false" customHeight="true" outlineLevel="0" collapsed="false">
      <c r="B40" s="11" t="s">
        <v>136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customFormat="false" ht="28.5" hidden="false" customHeight="true" outlineLevel="0" collapsed="false">
      <c r="B41" s="12" t="s">
        <v>137</v>
      </c>
      <c r="C41" s="12" t="s">
        <v>138</v>
      </c>
      <c r="D41" s="12" t="s">
        <v>46</v>
      </c>
      <c r="E41" s="13" t="s">
        <v>139</v>
      </c>
      <c r="F41" s="13" t="s">
        <v>140</v>
      </c>
      <c r="G41" s="12" t="s">
        <v>102</v>
      </c>
      <c r="H41" s="12" t="s">
        <v>55</v>
      </c>
      <c r="I41" s="12"/>
      <c r="J41" s="13"/>
      <c r="K41" s="13"/>
      <c r="L41" s="12"/>
      <c r="M41" s="12"/>
    </row>
    <row r="42" customFormat="false" ht="28.5" hidden="false" customHeight="true" outlineLevel="0" collapsed="false">
      <c r="B42" s="12" t="s">
        <v>141</v>
      </c>
      <c r="C42" s="12" t="s">
        <v>138</v>
      </c>
      <c r="D42" s="12" t="s">
        <v>46</v>
      </c>
      <c r="E42" s="13" t="s">
        <v>142</v>
      </c>
      <c r="F42" s="13" t="s">
        <v>143</v>
      </c>
      <c r="G42" s="12" t="s">
        <v>102</v>
      </c>
      <c r="H42" s="12" t="s">
        <v>55</v>
      </c>
      <c r="I42" s="12"/>
      <c r="J42" s="13"/>
      <c r="K42" s="13"/>
      <c r="L42" s="12"/>
      <c r="M42" s="12"/>
    </row>
    <row r="43" customFormat="false" ht="28.5" hidden="false" customHeight="true" outlineLevel="0" collapsed="false">
      <c r="B43" s="12" t="s">
        <v>144</v>
      </c>
      <c r="C43" s="12" t="s">
        <v>138</v>
      </c>
      <c r="D43" s="12" t="s">
        <v>46</v>
      </c>
      <c r="E43" s="13" t="s">
        <v>145</v>
      </c>
      <c r="F43" s="13" t="s">
        <v>146</v>
      </c>
      <c r="G43" s="12" t="s">
        <v>102</v>
      </c>
      <c r="H43" s="12" t="s">
        <v>55</v>
      </c>
      <c r="I43" s="12"/>
      <c r="J43" s="13"/>
      <c r="K43" s="13"/>
      <c r="L43" s="12"/>
      <c r="M43" s="12"/>
    </row>
    <row r="44" customFormat="false" ht="18.75" hidden="false" customHeight="true" outlineLevel="0" collapsed="false">
      <c r="B44" s="12" t="s">
        <v>147</v>
      </c>
      <c r="C44" s="12" t="s">
        <v>138</v>
      </c>
      <c r="D44" s="12" t="s">
        <v>46</v>
      </c>
      <c r="E44" s="13" t="s">
        <v>148</v>
      </c>
      <c r="F44" s="13" t="s">
        <v>149</v>
      </c>
      <c r="G44" s="12" t="s">
        <v>102</v>
      </c>
      <c r="H44" s="12" t="s">
        <v>55</v>
      </c>
      <c r="I44" s="12"/>
      <c r="J44" s="13"/>
      <c r="K44" s="13"/>
      <c r="L44" s="12"/>
      <c r="M44" s="12"/>
    </row>
    <row r="45" customFormat="false" ht="28.5" hidden="false" customHeight="true" outlineLevel="0" collapsed="false">
      <c r="B45" s="12" t="s">
        <v>150</v>
      </c>
      <c r="C45" s="12" t="s">
        <v>138</v>
      </c>
      <c r="D45" s="12" t="s">
        <v>46</v>
      </c>
      <c r="E45" s="13" t="s">
        <v>151</v>
      </c>
      <c r="F45" s="13" t="s">
        <v>152</v>
      </c>
      <c r="G45" s="12" t="s">
        <v>59</v>
      </c>
      <c r="H45" s="12" t="s">
        <v>55</v>
      </c>
      <c r="I45" s="12"/>
      <c r="J45" s="13"/>
      <c r="K45" s="13"/>
      <c r="L45" s="12"/>
      <c r="M45" s="12"/>
    </row>
    <row r="46" customFormat="false" ht="28.5" hidden="false" customHeight="true" outlineLevel="0" collapsed="false">
      <c r="B46" s="12" t="s">
        <v>153</v>
      </c>
      <c r="C46" s="12" t="s">
        <v>138</v>
      </c>
      <c r="D46" s="12" t="s">
        <v>46</v>
      </c>
      <c r="E46" s="13" t="s">
        <v>154</v>
      </c>
      <c r="F46" s="13" t="s">
        <v>155</v>
      </c>
      <c r="G46" s="12" t="s">
        <v>156</v>
      </c>
      <c r="H46" s="12" t="s">
        <v>55</v>
      </c>
      <c r="I46" s="12"/>
      <c r="J46" s="13"/>
      <c r="K46" s="13"/>
      <c r="L46" s="12"/>
      <c r="M46" s="12"/>
    </row>
    <row r="47" customFormat="false" ht="37.5" hidden="false" customHeight="true" outlineLevel="0" collapsed="false">
      <c r="B47" s="12" t="s">
        <v>157</v>
      </c>
      <c r="C47" s="12" t="s">
        <v>138</v>
      </c>
      <c r="D47" s="14" t="s">
        <v>74</v>
      </c>
      <c r="E47" s="13" t="s">
        <v>158</v>
      </c>
      <c r="F47" s="13" t="s">
        <v>76</v>
      </c>
      <c r="G47" s="12" t="s">
        <v>77</v>
      </c>
      <c r="H47" s="12" t="s">
        <v>55</v>
      </c>
      <c r="I47" s="12"/>
      <c r="J47" s="13"/>
      <c r="K47" s="13"/>
      <c r="L47" s="12"/>
      <c r="M47" s="12"/>
    </row>
    <row r="48" customFormat="false" ht="28.5" hidden="false" customHeight="true" outlineLevel="0" collapsed="false">
      <c r="B48" s="12" t="s">
        <v>159</v>
      </c>
      <c r="C48" s="12" t="s">
        <v>138</v>
      </c>
      <c r="D48" s="14" t="s">
        <v>74</v>
      </c>
      <c r="E48" s="13" t="s">
        <v>160</v>
      </c>
      <c r="F48" s="13" t="s">
        <v>76</v>
      </c>
      <c r="G48" s="12" t="s">
        <v>77</v>
      </c>
      <c r="H48" s="12" t="s">
        <v>55</v>
      </c>
      <c r="I48" s="12"/>
      <c r="J48" s="13"/>
      <c r="K48" s="13"/>
      <c r="L48" s="12"/>
      <c r="M48" s="12"/>
    </row>
    <row r="49" customFormat="false" ht="18.75" hidden="false" customHeight="true" outlineLevel="0" collapsed="false">
      <c r="B49" s="12" t="s">
        <v>161</v>
      </c>
      <c r="C49" s="12" t="s">
        <v>138</v>
      </c>
      <c r="D49" s="14" t="s">
        <v>74</v>
      </c>
      <c r="E49" s="13" t="s">
        <v>162</v>
      </c>
      <c r="F49" s="13" t="s">
        <v>76</v>
      </c>
      <c r="G49" s="12" t="s">
        <v>77</v>
      </c>
      <c r="H49" s="12" t="s">
        <v>55</v>
      </c>
      <c r="I49" s="12"/>
      <c r="J49" s="13"/>
      <c r="K49" s="13"/>
      <c r="L49" s="12"/>
      <c r="M49" s="12"/>
    </row>
    <row r="50" customFormat="false" ht="28.5" hidden="false" customHeight="true" outlineLevel="0" collapsed="false">
      <c r="B50" s="12" t="s">
        <v>163</v>
      </c>
      <c r="C50" s="12" t="s">
        <v>138</v>
      </c>
      <c r="D50" s="12" t="s">
        <v>85</v>
      </c>
      <c r="E50" s="13" t="s">
        <v>164</v>
      </c>
      <c r="F50" s="13" t="s">
        <v>165</v>
      </c>
      <c r="G50" s="12" t="s">
        <v>77</v>
      </c>
      <c r="H50" s="12" t="s">
        <v>85</v>
      </c>
      <c r="I50" s="12"/>
      <c r="J50" s="13"/>
      <c r="K50" s="13"/>
      <c r="L50" s="12"/>
      <c r="M50" s="12"/>
    </row>
    <row r="51" customFormat="false" ht="28.5" hidden="false" customHeight="true" outlineLevel="0" collapsed="false">
      <c r="B51" s="12" t="s">
        <v>166</v>
      </c>
      <c r="C51" s="12" t="s">
        <v>138</v>
      </c>
      <c r="D51" s="12" t="s">
        <v>85</v>
      </c>
      <c r="E51" s="13" t="s">
        <v>167</v>
      </c>
      <c r="F51" s="13" t="s">
        <v>133</v>
      </c>
      <c r="G51" s="12" t="s">
        <v>77</v>
      </c>
      <c r="H51" s="12" t="s">
        <v>85</v>
      </c>
      <c r="I51" s="12"/>
      <c r="J51" s="13"/>
      <c r="K51" s="13"/>
      <c r="L51" s="12"/>
      <c r="M51" s="12"/>
    </row>
    <row r="52" customFormat="false" ht="28.5" hidden="false" customHeight="true" outlineLevel="0" collapsed="false">
      <c r="B52" s="12" t="s">
        <v>168</v>
      </c>
      <c r="C52" s="12" t="s">
        <v>138</v>
      </c>
      <c r="D52" s="12" t="s">
        <v>85</v>
      </c>
      <c r="E52" s="13" t="s">
        <v>169</v>
      </c>
      <c r="F52" s="13" t="s">
        <v>93</v>
      </c>
      <c r="G52" s="12" t="s">
        <v>77</v>
      </c>
      <c r="H52" s="12" t="s">
        <v>85</v>
      </c>
      <c r="I52" s="12"/>
      <c r="J52" s="13"/>
      <c r="K52" s="13"/>
      <c r="L52" s="12"/>
      <c r="M52" s="12"/>
    </row>
    <row r="53" customFormat="false" ht="15" hidden="false" customHeight="true" outlineLevel="0" collapsed="false">
      <c r="B53" s="11" t="s">
        <v>170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customFormat="false" ht="28.5" hidden="false" customHeight="true" outlineLevel="0" collapsed="false">
      <c r="B54" s="12" t="s">
        <v>171</v>
      </c>
      <c r="C54" s="12" t="s">
        <v>172</v>
      </c>
      <c r="D54" s="12" t="s">
        <v>46</v>
      </c>
      <c r="E54" s="13" t="s">
        <v>173</v>
      </c>
      <c r="F54" s="13" t="s">
        <v>174</v>
      </c>
      <c r="G54" s="12" t="s">
        <v>102</v>
      </c>
      <c r="H54" s="12" t="s">
        <v>55</v>
      </c>
      <c r="I54" s="12"/>
      <c r="J54" s="13"/>
      <c r="K54" s="13"/>
      <c r="L54" s="12"/>
      <c r="M54" s="12"/>
    </row>
    <row r="55" customFormat="false" ht="18.75" hidden="false" customHeight="true" outlineLevel="0" collapsed="false">
      <c r="B55" s="12" t="s">
        <v>175</v>
      </c>
      <c r="C55" s="12" t="s">
        <v>172</v>
      </c>
      <c r="D55" s="12" t="s">
        <v>46</v>
      </c>
      <c r="E55" s="13" t="s">
        <v>176</v>
      </c>
      <c r="F55" s="13" t="s">
        <v>177</v>
      </c>
      <c r="G55" s="12" t="s">
        <v>102</v>
      </c>
      <c r="H55" s="12" t="s">
        <v>50</v>
      </c>
      <c r="I55" s="12"/>
      <c r="J55" s="13"/>
      <c r="K55" s="13"/>
      <c r="L55" s="12"/>
      <c r="M55" s="12"/>
    </row>
    <row r="56" customFormat="false" ht="28.5" hidden="false" customHeight="true" outlineLevel="0" collapsed="false">
      <c r="B56" s="12" t="s">
        <v>178</v>
      </c>
      <c r="C56" s="12" t="s">
        <v>172</v>
      </c>
      <c r="D56" s="12" t="s">
        <v>46</v>
      </c>
      <c r="E56" s="13" t="s">
        <v>179</v>
      </c>
      <c r="F56" s="13" t="s">
        <v>180</v>
      </c>
      <c r="G56" s="12" t="s">
        <v>156</v>
      </c>
      <c r="H56" s="12" t="s">
        <v>50</v>
      </c>
      <c r="I56" s="12"/>
      <c r="J56" s="13"/>
      <c r="K56" s="13"/>
      <c r="L56" s="12"/>
      <c r="M56" s="12"/>
    </row>
    <row r="57" customFormat="false" ht="18.75" hidden="false" customHeight="true" outlineLevel="0" collapsed="false">
      <c r="B57" s="12" t="s">
        <v>181</v>
      </c>
      <c r="C57" s="12" t="s">
        <v>172</v>
      </c>
      <c r="D57" s="12" t="s">
        <v>46</v>
      </c>
      <c r="E57" s="13" t="s">
        <v>182</v>
      </c>
      <c r="F57" s="13" t="s">
        <v>183</v>
      </c>
      <c r="G57" s="12" t="s">
        <v>156</v>
      </c>
      <c r="H57" s="12" t="s">
        <v>55</v>
      </c>
      <c r="I57" s="12"/>
      <c r="J57" s="13"/>
      <c r="K57" s="13"/>
      <c r="L57" s="12"/>
      <c r="M57" s="12"/>
    </row>
    <row r="58" customFormat="false" ht="28.5" hidden="false" customHeight="true" outlineLevel="0" collapsed="false">
      <c r="B58" s="12" t="s">
        <v>184</v>
      </c>
      <c r="C58" s="12" t="s">
        <v>172</v>
      </c>
      <c r="D58" s="12" t="s">
        <v>46</v>
      </c>
      <c r="E58" s="13" t="s">
        <v>185</v>
      </c>
      <c r="F58" s="13" t="s">
        <v>186</v>
      </c>
      <c r="G58" s="12" t="s">
        <v>156</v>
      </c>
      <c r="H58" s="12" t="s">
        <v>50</v>
      </c>
      <c r="I58" s="12"/>
      <c r="J58" s="13"/>
      <c r="K58" s="13"/>
      <c r="L58" s="12"/>
      <c r="M58" s="12"/>
    </row>
    <row r="59" customFormat="false" ht="28.5" hidden="false" customHeight="true" outlineLevel="0" collapsed="false">
      <c r="B59" s="12" t="s">
        <v>187</v>
      </c>
      <c r="C59" s="12" t="s">
        <v>172</v>
      </c>
      <c r="D59" s="12" t="s">
        <v>46</v>
      </c>
      <c r="E59" s="13" t="s">
        <v>188</v>
      </c>
      <c r="F59" s="13" t="s">
        <v>189</v>
      </c>
      <c r="G59" s="12" t="s">
        <v>190</v>
      </c>
      <c r="H59" s="12" t="s">
        <v>191</v>
      </c>
      <c r="I59" s="12"/>
      <c r="J59" s="13"/>
      <c r="K59" s="13"/>
      <c r="L59" s="12"/>
      <c r="M59" s="12"/>
    </row>
    <row r="60" customFormat="false" ht="28.5" hidden="false" customHeight="true" outlineLevel="0" collapsed="false">
      <c r="B60" s="12" t="s">
        <v>192</v>
      </c>
      <c r="C60" s="12" t="s">
        <v>172</v>
      </c>
      <c r="D60" s="12" t="s">
        <v>46</v>
      </c>
      <c r="E60" s="13" t="s">
        <v>193</v>
      </c>
      <c r="F60" s="13" t="s">
        <v>194</v>
      </c>
      <c r="G60" s="12" t="s">
        <v>49</v>
      </c>
      <c r="H60" s="12" t="s">
        <v>50</v>
      </c>
      <c r="I60" s="12"/>
      <c r="J60" s="13"/>
      <c r="K60" s="13"/>
      <c r="L60" s="12"/>
      <c r="M60" s="12"/>
    </row>
    <row r="61" customFormat="false" ht="28.5" hidden="false" customHeight="true" outlineLevel="0" collapsed="false">
      <c r="B61" s="12" t="s">
        <v>195</v>
      </c>
      <c r="C61" s="12" t="s">
        <v>172</v>
      </c>
      <c r="D61" s="14" t="s">
        <v>74</v>
      </c>
      <c r="E61" s="13" t="s">
        <v>196</v>
      </c>
      <c r="F61" s="13" t="s">
        <v>76</v>
      </c>
      <c r="G61" s="12" t="s">
        <v>77</v>
      </c>
      <c r="H61" s="12" t="s">
        <v>55</v>
      </c>
      <c r="I61" s="12"/>
      <c r="J61" s="13"/>
      <c r="K61" s="13"/>
      <c r="L61" s="12"/>
      <c r="M61" s="12"/>
    </row>
    <row r="62" customFormat="false" ht="18.75" hidden="false" customHeight="true" outlineLevel="0" collapsed="false">
      <c r="B62" s="12" t="s">
        <v>197</v>
      </c>
      <c r="C62" s="12" t="s">
        <v>172</v>
      </c>
      <c r="D62" s="14" t="s">
        <v>74</v>
      </c>
      <c r="E62" s="13" t="s">
        <v>198</v>
      </c>
      <c r="F62" s="13" t="s">
        <v>76</v>
      </c>
      <c r="G62" s="12" t="s">
        <v>77</v>
      </c>
      <c r="H62" s="12" t="s">
        <v>55</v>
      </c>
      <c r="I62" s="12"/>
      <c r="J62" s="13"/>
      <c r="K62" s="13"/>
      <c r="L62" s="12"/>
      <c r="M62" s="12"/>
    </row>
    <row r="63" customFormat="false" ht="18.75" hidden="false" customHeight="true" outlineLevel="0" collapsed="false">
      <c r="B63" s="12" t="s">
        <v>199</v>
      </c>
      <c r="C63" s="12" t="s">
        <v>172</v>
      </c>
      <c r="D63" s="14" t="s">
        <v>74</v>
      </c>
      <c r="E63" s="13" t="s">
        <v>200</v>
      </c>
      <c r="F63" s="13" t="s">
        <v>76</v>
      </c>
      <c r="G63" s="12" t="s">
        <v>77</v>
      </c>
      <c r="H63" s="12" t="s">
        <v>55</v>
      </c>
      <c r="I63" s="12"/>
      <c r="J63" s="13"/>
      <c r="K63" s="13"/>
      <c r="L63" s="12"/>
      <c r="M63" s="12"/>
    </row>
    <row r="64" customFormat="false" ht="28.5" hidden="false" customHeight="true" outlineLevel="0" collapsed="false">
      <c r="B64" s="12" t="s">
        <v>201</v>
      </c>
      <c r="C64" s="12" t="s">
        <v>172</v>
      </c>
      <c r="D64" s="12" t="s">
        <v>85</v>
      </c>
      <c r="E64" s="13" t="s">
        <v>202</v>
      </c>
      <c r="F64" s="13" t="s">
        <v>203</v>
      </c>
      <c r="G64" s="12" t="s">
        <v>77</v>
      </c>
      <c r="H64" s="12" t="s">
        <v>85</v>
      </c>
      <c r="I64" s="12"/>
      <c r="J64" s="13"/>
      <c r="K64" s="13"/>
      <c r="L64" s="12"/>
      <c r="M64" s="12"/>
    </row>
    <row r="65" customFormat="false" ht="37.5" hidden="false" customHeight="true" outlineLevel="0" collapsed="false">
      <c r="B65" s="12" t="s">
        <v>204</v>
      </c>
      <c r="C65" s="12" t="s">
        <v>172</v>
      </c>
      <c r="D65" s="12" t="s">
        <v>85</v>
      </c>
      <c r="E65" s="13" t="s">
        <v>205</v>
      </c>
      <c r="F65" s="13" t="s">
        <v>133</v>
      </c>
      <c r="G65" s="12" t="s">
        <v>77</v>
      </c>
      <c r="H65" s="12" t="s">
        <v>85</v>
      </c>
      <c r="I65" s="12"/>
      <c r="J65" s="13"/>
      <c r="K65" s="13"/>
      <c r="L65" s="12"/>
      <c r="M65" s="12"/>
    </row>
    <row r="66" customFormat="false" ht="37.5" hidden="false" customHeight="true" outlineLevel="0" collapsed="false">
      <c r="B66" s="12" t="s">
        <v>206</v>
      </c>
      <c r="C66" s="12" t="s">
        <v>172</v>
      </c>
      <c r="D66" s="12" t="s">
        <v>85</v>
      </c>
      <c r="E66" s="13" t="s">
        <v>207</v>
      </c>
      <c r="F66" s="13" t="s">
        <v>93</v>
      </c>
      <c r="G66" s="12" t="s">
        <v>77</v>
      </c>
      <c r="H66" s="12" t="s">
        <v>85</v>
      </c>
      <c r="I66" s="12"/>
      <c r="J66" s="13"/>
      <c r="K66" s="13"/>
      <c r="L66" s="12"/>
      <c r="M66" s="12"/>
    </row>
    <row r="67" customFormat="false" ht="15" hidden="false" customHeight="true" outlineLevel="0" collapsed="false">
      <c r="B67" s="11" t="s">
        <v>208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customFormat="false" ht="28.5" hidden="false" customHeight="true" outlineLevel="0" collapsed="false">
      <c r="B68" s="12" t="s">
        <v>209</v>
      </c>
      <c r="C68" s="12" t="s">
        <v>210</v>
      </c>
      <c r="D68" s="12" t="s">
        <v>46</v>
      </c>
      <c r="E68" s="13" t="s">
        <v>211</v>
      </c>
      <c r="F68" s="13" t="s">
        <v>212</v>
      </c>
      <c r="G68" s="12" t="s">
        <v>190</v>
      </c>
      <c r="H68" s="12" t="s">
        <v>112</v>
      </c>
      <c r="I68" s="12"/>
      <c r="J68" s="13"/>
      <c r="K68" s="13"/>
      <c r="L68" s="12"/>
      <c r="M68" s="12"/>
    </row>
    <row r="69" customFormat="false" ht="18.75" hidden="false" customHeight="true" outlineLevel="0" collapsed="false">
      <c r="B69" s="12" t="s">
        <v>213</v>
      </c>
      <c r="C69" s="12" t="s">
        <v>210</v>
      </c>
      <c r="D69" s="12" t="s">
        <v>46</v>
      </c>
      <c r="E69" s="13" t="s">
        <v>214</v>
      </c>
      <c r="F69" s="13" t="s">
        <v>215</v>
      </c>
      <c r="G69" s="12" t="s">
        <v>59</v>
      </c>
      <c r="H69" s="12" t="s">
        <v>55</v>
      </c>
      <c r="I69" s="12"/>
      <c r="J69" s="13"/>
      <c r="K69" s="13"/>
      <c r="L69" s="12"/>
      <c r="M69" s="12"/>
    </row>
    <row r="70" customFormat="false" ht="18.75" hidden="false" customHeight="true" outlineLevel="0" collapsed="false">
      <c r="B70" s="12" t="s">
        <v>216</v>
      </c>
      <c r="C70" s="12" t="s">
        <v>210</v>
      </c>
      <c r="D70" s="12" t="s">
        <v>46</v>
      </c>
      <c r="E70" s="13" t="s">
        <v>217</v>
      </c>
      <c r="F70" s="13" t="s">
        <v>218</v>
      </c>
      <c r="G70" s="12" t="s">
        <v>190</v>
      </c>
      <c r="H70" s="12" t="s">
        <v>112</v>
      </c>
      <c r="I70" s="12"/>
      <c r="J70" s="13"/>
      <c r="K70" s="13"/>
      <c r="L70" s="12"/>
      <c r="M70" s="12"/>
    </row>
    <row r="71" customFormat="false" ht="28.5" hidden="false" customHeight="true" outlineLevel="0" collapsed="false">
      <c r="B71" s="12" t="s">
        <v>219</v>
      </c>
      <c r="C71" s="12" t="s">
        <v>210</v>
      </c>
      <c r="D71" s="12" t="s">
        <v>46</v>
      </c>
      <c r="E71" s="13" t="s">
        <v>220</v>
      </c>
      <c r="F71" s="13" t="s">
        <v>221</v>
      </c>
      <c r="G71" s="12" t="s">
        <v>59</v>
      </c>
      <c r="H71" s="12" t="s">
        <v>50</v>
      </c>
      <c r="I71" s="12"/>
      <c r="J71" s="13"/>
      <c r="K71" s="13"/>
      <c r="L71" s="12"/>
      <c r="M71" s="12"/>
    </row>
    <row r="72" customFormat="false" ht="28.5" hidden="false" customHeight="true" outlineLevel="0" collapsed="false">
      <c r="B72" s="12" t="s">
        <v>222</v>
      </c>
      <c r="C72" s="12" t="s">
        <v>210</v>
      </c>
      <c r="D72" s="12" t="s">
        <v>46</v>
      </c>
      <c r="E72" s="13" t="s">
        <v>223</v>
      </c>
      <c r="F72" s="13" t="s">
        <v>224</v>
      </c>
      <c r="G72" s="12" t="s">
        <v>59</v>
      </c>
      <c r="H72" s="12" t="s">
        <v>50</v>
      </c>
      <c r="I72" s="12"/>
      <c r="J72" s="13"/>
      <c r="K72" s="13"/>
      <c r="L72" s="12"/>
      <c r="M72" s="12"/>
    </row>
    <row r="73" customFormat="false" ht="28.5" hidden="false" customHeight="true" outlineLevel="0" collapsed="false">
      <c r="B73" s="12" t="s">
        <v>225</v>
      </c>
      <c r="C73" s="12" t="s">
        <v>210</v>
      </c>
      <c r="D73" s="12" t="s">
        <v>46</v>
      </c>
      <c r="E73" s="13" t="s">
        <v>226</v>
      </c>
      <c r="F73" s="13" t="s">
        <v>227</v>
      </c>
      <c r="G73" s="12" t="s">
        <v>190</v>
      </c>
      <c r="H73" s="12" t="s">
        <v>112</v>
      </c>
      <c r="I73" s="12"/>
      <c r="J73" s="13"/>
      <c r="K73" s="13"/>
      <c r="L73" s="12"/>
      <c r="M73" s="12"/>
    </row>
    <row r="74" customFormat="false" ht="18.75" hidden="false" customHeight="true" outlineLevel="0" collapsed="false">
      <c r="B74" s="12" t="s">
        <v>228</v>
      </c>
      <c r="C74" s="12" t="s">
        <v>210</v>
      </c>
      <c r="D74" s="14" t="s">
        <v>74</v>
      </c>
      <c r="E74" s="13" t="s">
        <v>229</v>
      </c>
      <c r="F74" s="13" t="s">
        <v>76</v>
      </c>
      <c r="G74" s="12" t="s">
        <v>77</v>
      </c>
      <c r="H74" s="12" t="s">
        <v>230</v>
      </c>
      <c r="I74" s="12"/>
      <c r="J74" s="13"/>
      <c r="K74" s="13"/>
      <c r="L74" s="12"/>
      <c r="M74" s="12"/>
    </row>
    <row r="75" customFormat="false" ht="18.75" hidden="false" customHeight="true" outlineLevel="0" collapsed="false">
      <c r="B75" s="12" t="s">
        <v>231</v>
      </c>
      <c r="C75" s="12" t="s">
        <v>210</v>
      </c>
      <c r="D75" s="14" t="s">
        <v>74</v>
      </c>
      <c r="E75" s="13" t="s">
        <v>232</v>
      </c>
      <c r="F75" s="13" t="s">
        <v>76</v>
      </c>
      <c r="G75" s="12" t="s">
        <v>77</v>
      </c>
      <c r="H75" s="12" t="s">
        <v>55</v>
      </c>
      <c r="I75" s="12"/>
      <c r="J75" s="13"/>
      <c r="K75" s="13"/>
      <c r="L75" s="12"/>
      <c r="M75" s="12"/>
    </row>
    <row r="76" customFormat="false" ht="28.5" hidden="false" customHeight="true" outlineLevel="0" collapsed="false">
      <c r="B76" s="12" t="s">
        <v>233</v>
      </c>
      <c r="C76" s="12" t="s">
        <v>210</v>
      </c>
      <c r="D76" s="14" t="s">
        <v>74</v>
      </c>
      <c r="E76" s="13" t="s">
        <v>234</v>
      </c>
      <c r="F76" s="13" t="s">
        <v>76</v>
      </c>
      <c r="G76" s="12" t="s">
        <v>77</v>
      </c>
      <c r="H76" s="12" t="s">
        <v>55</v>
      </c>
      <c r="I76" s="12"/>
      <c r="J76" s="13"/>
      <c r="K76" s="13"/>
      <c r="L76" s="12"/>
      <c r="M76" s="12"/>
    </row>
    <row r="77" customFormat="false" ht="37.5" hidden="false" customHeight="true" outlineLevel="0" collapsed="false">
      <c r="B77" s="12" t="s">
        <v>235</v>
      </c>
      <c r="C77" s="12" t="s">
        <v>210</v>
      </c>
      <c r="D77" s="12" t="s">
        <v>85</v>
      </c>
      <c r="E77" s="13" t="s">
        <v>236</v>
      </c>
      <c r="F77" s="13" t="s">
        <v>237</v>
      </c>
      <c r="G77" s="12" t="s">
        <v>77</v>
      </c>
      <c r="H77" s="12" t="s">
        <v>85</v>
      </c>
      <c r="I77" s="12"/>
      <c r="J77" s="13"/>
      <c r="K77" s="13"/>
      <c r="L77" s="12"/>
      <c r="M77" s="12"/>
    </row>
    <row r="78" customFormat="false" ht="37.5" hidden="false" customHeight="true" outlineLevel="0" collapsed="false">
      <c r="B78" s="12" t="s">
        <v>238</v>
      </c>
      <c r="C78" s="12" t="s">
        <v>210</v>
      </c>
      <c r="D78" s="12" t="s">
        <v>85</v>
      </c>
      <c r="E78" s="13" t="s">
        <v>239</v>
      </c>
      <c r="F78" s="13" t="s">
        <v>133</v>
      </c>
      <c r="G78" s="12" t="s">
        <v>77</v>
      </c>
      <c r="H78" s="12" t="s">
        <v>85</v>
      </c>
      <c r="I78" s="12"/>
      <c r="J78" s="13"/>
      <c r="K78" s="13"/>
      <c r="L78" s="12"/>
      <c r="M78" s="12"/>
    </row>
    <row r="79" customFormat="false" ht="28.5" hidden="false" customHeight="true" outlineLevel="0" collapsed="false">
      <c r="B79" s="12" t="s">
        <v>240</v>
      </c>
      <c r="C79" s="12" t="s">
        <v>210</v>
      </c>
      <c r="D79" s="12" t="s">
        <v>85</v>
      </c>
      <c r="E79" s="13" t="s">
        <v>241</v>
      </c>
      <c r="F79" s="13" t="s">
        <v>93</v>
      </c>
      <c r="G79" s="12" t="s">
        <v>77</v>
      </c>
      <c r="H79" s="12" t="s">
        <v>85</v>
      </c>
      <c r="I79" s="12"/>
      <c r="J79" s="13"/>
      <c r="K79" s="13"/>
      <c r="L79" s="12"/>
      <c r="M79" s="12"/>
    </row>
    <row r="81" customFormat="false" ht="39.75" hidden="false" customHeight="true" outlineLevel="0" collapsed="false">
      <c r="B81" s="9" t="s">
        <v>242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</row>
  </sheetData>
  <mergeCells count="19">
    <mergeCell ref="B2:D4"/>
    <mergeCell ref="E2:J2"/>
    <mergeCell ref="K2:M2"/>
    <mergeCell ref="E3:J4"/>
    <mergeCell ref="K3:M3"/>
    <mergeCell ref="K4:L4"/>
    <mergeCell ref="B6:E6"/>
    <mergeCell ref="F6:H6"/>
    <mergeCell ref="I6:M6"/>
    <mergeCell ref="B7:E7"/>
    <mergeCell ref="F7:H7"/>
    <mergeCell ref="I7:K7"/>
    <mergeCell ref="L7:M7"/>
    <mergeCell ref="B10:M10"/>
    <mergeCell ref="B25:M25"/>
    <mergeCell ref="B40:M40"/>
    <mergeCell ref="B53:M53"/>
    <mergeCell ref="B67:M67"/>
    <mergeCell ref="B81:M81"/>
  </mergeCells>
  <conditionalFormatting sqref="I10:I79">
    <cfRule type="cellIs" priority="2" operator="equal" aboveAverage="0" equalAverage="0" bottom="0" percent="0" rank="0" text="" dxfId="0">
      <formula>"C"</formula>
    </cfRule>
    <cfRule type="cellIs" priority="3" operator="equal" aboveAverage="0" equalAverage="0" bottom="0" percent="0" rank="0" text="" dxfId="1">
      <formula>"NC"</formula>
    </cfRule>
    <cfRule type="cellIs" priority="4" operator="equal" aboveAverage="0" equalAverage="0" bottom="0" percent="0" rank="0" text="" dxfId="2">
      <formula>"NA"</formula>
    </cfRule>
  </conditionalFormatting>
  <dataValidations count="1">
    <dataValidation allowBlank="true" errorStyle="stop" operator="between" showDropDown="false" showErrorMessage="false" showInputMessage="false" sqref="I10:I79" type="list">
      <formula1>"C,NC,NA"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9"/>
    <col collapsed="false" customWidth="true" hidden="false" outlineLevel="0" max="3" min="3" style="1" width="44"/>
    <col collapsed="false" customWidth="true" hidden="false" outlineLevel="0" max="4" min="4" style="1" width="18"/>
    <col collapsed="false" customWidth="true" hidden="false" outlineLevel="0" max="5" min="5" style="1" width="9"/>
    <col collapsed="false" customWidth="true" hidden="false" outlineLevel="0" max="8" min="6" style="1" width="8"/>
    <col collapsed="false" customWidth="true" hidden="false" outlineLevel="0" max="10" min="9" style="1" width="13"/>
  </cols>
  <sheetData>
    <row r="2" customFormat="false" ht="25.5" hidden="false" customHeight="true" outlineLevel="0" collapsed="false">
      <c r="B2" s="2"/>
      <c r="C2" s="2"/>
      <c r="D2" s="3" t="s">
        <v>0</v>
      </c>
      <c r="E2" s="3"/>
      <c r="F2" s="3"/>
      <c r="G2" s="3"/>
      <c r="H2" s="3"/>
      <c r="I2" s="4" t="s">
        <v>1</v>
      </c>
      <c r="J2" s="4"/>
    </row>
    <row r="3" customFormat="false" ht="15" hidden="false" customHeight="true" outlineLevel="0" collapsed="false">
      <c r="B3" s="2"/>
      <c r="C3" s="2"/>
      <c r="D3" s="5" t="s">
        <v>243</v>
      </c>
      <c r="E3" s="5"/>
      <c r="F3" s="5"/>
      <c r="G3" s="5"/>
      <c r="H3" s="5"/>
      <c r="I3" s="6" t="s">
        <v>3</v>
      </c>
      <c r="J3" s="6"/>
    </row>
    <row r="4" customFormat="false" ht="15" hidden="false" customHeight="true" outlineLevel="0" collapsed="false">
      <c r="B4" s="2"/>
      <c r="C4" s="2"/>
      <c r="D4" s="5"/>
      <c r="E4" s="5"/>
      <c r="F4" s="5"/>
      <c r="G4" s="5"/>
      <c r="H4" s="5"/>
      <c r="I4" s="6" t="s">
        <v>4</v>
      </c>
      <c r="J4" s="6" t="s">
        <v>5</v>
      </c>
    </row>
    <row r="6" customFormat="false" ht="15" hidden="false" customHeight="true" outlineLevel="0" collapsed="false">
      <c r="B6" s="11" t="s">
        <v>244</v>
      </c>
      <c r="C6" s="11"/>
      <c r="D6" s="11"/>
      <c r="E6" s="11"/>
      <c r="F6" s="11"/>
      <c r="G6" s="11"/>
      <c r="H6" s="11"/>
      <c r="I6" s="11"/>
      <c r="J6" s="11"/>
    </row>
    <row r="7" customFormat="false" ht="24" hidden="false" customHeight="true" outlineLevel="0" collapsed="false">
      <c r="B7" s="10" t="s">
        <v>245</v>
      </c>
      <c r="C7" s="10" t="s">
        <v>32</v>
      </c>
      <c r="D7" s="10" t="s">
        <v>246</v>
      </c>
      <c r="E7" s="10" t="s">
        <v>247</v>
      </c>
      <c r="F7" s="10" t="s">
        <v>248</v>
      </c>
      <c r="G7" s="10" t="s">
        <v>249</v>
      </c>
      <c r="H7" s="10" t="s">
        <v>250</v>
      </c>
      <c r="I7" s="10" t="s">
        <v>18</v>
      </c>
      <c r="J7" s="10" t="s">
        <v>14</v>
      </c>
    </row>
    <row r="8" customFormat="false" ht="15.75" hidden="false" customHeight="true" outlineLevel="0" collapsed="false">
      <c r="B8" s="12" t="s">
        <v>45</v>
      </c>
      <c r="C8" s="13" t="s">
        <v>251</v>
      </c>
      <c r="D8" s="12" t="s">
        <v>252</v>
      </c>
      <c r="E8" s="12" t="n">
        <f aca="false">COUNTIF('Pauta Auditoría'!$C$10:$C$79,B8)</f>
        <v>14</v>
      </c>
      <c r="F8" s="12" t="n">
        <f aca="false">COUNTIFS('Pauta Auditoría'!$C$10:$C$79,B8,'Pauta Auditoría'!$I$10:$I$79,"C")</f>
        <v>0</v>
      </c>
      <c r="G8" s="12" t="n">
        <f aca="false">COUNTIFS('Pauta Auditoría'!$C$10:$C$79,B8,'Pauta Auditoría'!$I$10:$I$79,"NC")</f>
        <v>0</v>
      </c>
      <c r="H8" s="12" t="n">
        <f aca="false">COUNTIFS('Pauta Auditoría'!$C$10:$C$79,B8,'Pauta Auditoría'!$I$10:$I$79,"NA")</f>
        <v>0</v>
      </c>
      <c r="I8" s="15" t="str">
        <f aca="false">IF(F8+G8=0,"",F8/(F8+G8))</f>
        <v/>
      </c>
      <c r="J8" s="12" t="n">
        <f aca="false">COUNTIFS('Pauta Auditoría'!$C$10:$C$79,B8,'Pauta Auditoría'!$D$10:$D$79,"Desviación crítica",'Pauta Auditoría'!$I$10:$I$79,"NC")</f>
        <v>0</v>
      </c>
    </row>
    <row r="9" customFormat="false" ht="15.75" hidden="false" customHeight="true" outlineLevel="0" collapsed="false">
      <c r="B9" s="12" t="s">
        <v>96</v>
      </c>
      <c r="C9" s="13" t="s">
        <v>253</v>
      </c>
      <c r="D9" s="12" t="s">
        <v>252</v>
      </c>
      <c r="E9" s="12" t="n">
        <f aca="false">COUNTIF('Pauta Auditoría'!$C$10:$C$79,B9)</f>
        <v>14</v>
      </c>
      <c r="F9" s="12" t="n">
        <f aca="false">COUNTIFS('Pauta Auditoría'!$C$10:$C$79,B9,'Pauta Auditoría'!$I$10:$I$79,"C")</f>
        <v>0</v>
      </c>
      <c r="G9" s="12" t="n">
        <f aca="false">COUNTIFS('Pauta Auditoría'!$C$10:$C$79,B9,'Pauta Auditoría'!$I$10:$I$79,"NC")</f>
        <v>0</v>
      </c>
      <c r="H9" s="12" t="n">
        <f aca="false">COUNTIFS('Pauta Auditoría'!$C$10:$C$79,B9,'Pauta Auditoría'!$I$10:$I$79,"NA")</f>
        <v>0</v>
      </c>
      <c r="I9" s="15" t="str">
        <f aca="false">IF(F9+G9=0,"",F9/(F9+G9))</f>
        <v/>
      </c>
      <c r="J9" s="12" t="n">
        <f aca="false">COUNTIFS('Pauta Auditoría'!$C$10:$C$79,B9,'Pauta Auditoría'!$D$10:$D$79,"Desviación crítica",'Pauta Auditoría'!$I$10:$I$79,"NC")</f>
        <v>0</v>
      </c>
    </row>
    <row r="10" customFormat="false" ht="15.75" hidden="false" customHeight="true" outlineLevel="0" collapsed="false">
      <c r="B10" s="12" t="s">
        <v>138</v>
      </c>
      <c r="C10" s="13" t="s">
        <v>254</v>
      </c>
      <c r="D10" s="12" t="s">
        <v>252</v>
      </c>
      <c r="E10" s="12" t="n">
        <f aca="false">COUNTIF('Pauta Auditoría'!$C$10:$C$79,B10)</f>
        <v>12</v>
      </c>
      <c r="F10" s="12" t="n">
        <f aca="false">COUNTIFS('Pauta Auditoría'!$C$10:$C$79,B10,'Pauta Auditoría'!$I$10:$I$79,"C")</f>
        <v>0</v>
      </c>
      <c r="G10" s="12" t="n">
        <f aca="false">COUNTIFS('Pauta Auditoría'!$C$10:$C$79,B10,'Pauta Auditoría'!$I$10:$I$79,"NC")</f>
        <v>0</v>
      </c>
      <c r="H10" s="12" t="n">
        <f aca="false">COUNTIFS('Pauta Auditoría'!$C$10:$C$79,B10,'Pauta Auditoría'!$I$10:$I$79,"NA")</f>
        <v>0</v>
      </c>
      <c r="I10" s="15" t="str">
        <f aca="false">IF(F10+G10=0,"",F10/(F10+G10))</f>
        <v/>
      </c>
      <c r="J10" s="12" t="n">
        <f aca="false">COUNTIFS('Pauta Auditoría'!$C$10:$C$79,B10,'Pauta Auditoría'!$D$10:$D$79,"Desviación crítica",'Pauta Auditoría'!$I$10:$I$79,"NC")</f>
        <v>0</v>
      </c>
    </row>
    <row r="11" customFormat="false" ht="15.75" hidden="false" customHeight="true" outlineLevel="0" collapsed="false">
      <c r="B11" s="12" t="s">
        <v>172</v>
      </c>
      <c r="C11" s="13" t="s">
        <v>255</v>
      </c>
      <c r="D11" s="12" t="s">
        <v>252</v>
      </c>
      <c r="E11" s="12" t="n">
        <f aca="false">COUNTIF('Pauta Auditoría'!$C$10:$C$79,B11)</f>
        <v>13</v>
      </c>
      <c r="F11" s="12" t="n">
        <f aca="false">COUNTIFS('Pauta Auditoría'!$C$10:$C$79,B11,'Pauta Auditoría'!$I$10:$I$79,"C")</f>
        <v>0</v>
      </c>
      <c r="G11" s="12" t="n">
        <f aca="false">COUNTIFS('Pauta Auditoría'!$C$10:$C$79,B11,'Pauta Auditoría'!$I$10:$I$79,"NC")</f>
        <v>0</v>
      </c>
      <c r="H11" s="12" t="n">
        <f aca="false">COUNTIFS('Pauta Auditoría'!$C$10:$C$79,B11,'Pauta Auditoría'!$I$10:$I$79,"NA")</f>
        <v>0</v>
      </c>
      <c r="I11" s="15" t="str">
        <f aca="false">IF(F11+G11=0,"",F11/(F11+G11))</f>
        <v/>
      </c>
      <c r="J11" s="12" t="n">
        <f aca="false">COUNTIFS('Pauta Auditoría'!$C$10:$C$79,B11,'Pauta Auditoría'!$D$10:$D$79,"Desviación crítica",'Pauta Auditoría'!$I$10:$I$79,"NC")</f>
        <v>0</v>
      </c>
    </row>
    <row r="12" customFormat="false" ht="15.75" hidden="false" customHeight="true" outlineLevel="0" collapsed="false">
      <c r="B12" s="12" t="s">
        <v>210</v>
      </c>
      <c r="C12" s="13" t="s">
        <v>256</v>
      </c>
      <c r="D12" s="12" t="s">
        <v>257</v>
      </c>
      <c r="E12" s="12" t="n">
        <f aca="false">COUNTIF('Pauta Auditoría'!$C$10:$C$79,B12)</f>
        <v>12</v>
      </c>
      <c r="F12" s="12" t="n">
        <f aca="false">COUNTIFS('Pauta Auditoría'!$C$10:$C$79,B12,'Pauta Auditoría'!$I$10:$I$79,"C")</f>
        <v>0</v>
      </c>
      <c r="G12" s="12" t="n">
        <f aca="false">COUNTIFS('Pauta Auditoría'!$C$10:$C$79,B12,'Pauta Auditoría'!$I$10:$I$79,"NC")</f>
        <v>0</v>
      </c>
      <c r="H12" s="12" t="n">
        <f aca="false">COUNTIFS('Pauta Auditoría'!$C$10:$C$79,B12,'Pauta Auditoría'!$I$10:$I$79,"NA")</f>
        <v>0</v>
      </c>
      <c r="I12" s="15" t="str">
        <f aca="false">IF(F12+G12=0,"",F12/(F12+G12))</f>
        <v/>
      </c>
      <c r="J12" s="12" t="n">
        <f aca="false">COUNTIFS('Pauta Auditoría'!$C$10:$C$79,B12,'Pauta Auditoría'!$D$10:$D$79,"Desviación crítica",'Pauta Auditoría'!$I$10:$I$79,"NC")</f>
        <v>0</v>
      </c>
    </row>
    <row r="13" customFormat="false" ht="15" hidden="false" customHeight="true" outlineLevel="0" collapsed="false">
      <c r="B13" s="7" t="s">
        <v>258</v>
      </c>
      <c r="C13" s="7"/>
      <c r="D13" s="7"/>
      <c r="E13" s="16" t="n">
        <f aca="false">SUM(E8:E12)</f>
        <v>65</v>
      </c>
      <c r="F13" s="16" t="n">
        <f aca="false">SUM(F8:F12)</f>
        <v>0</v>
      </c>
      <c r="G13" s="16" t="n">
        <f aca="false">SUM(G8:G12)</f>
        <v>0</v>
      </c>
      <c r="H13" s="16" t="n">
        <f aca="false">SUM(H8:H12)</f>
        <v>0</v>
      </c>
      <c r="I13" s="17" t="str">
        <f aca="false">IF(F13+G13=0,"",F13/(F13+G13))</f>
        <v/>
      </c>
      <c r="J13" s="16" t="n">
        <f aca="false">SUM(J8:J12)</f>
        <v>0</v>
      </c>
    </row>
    <row r="15" customFormat="false" ht="15" hidden="false" customHeight="true" outlineLevel="0" collapsed="false">
      <c r="B15" s="11" t="s">
        <v>259</v>
      </c>
      <c r="C15" s="11"/>
      <c r="D15" s="11"/>
      <c r="E15" s="11"/>
      <c r="F15" s="11"/>
      <c r="G15" s="11"/>
      <c r="H15" s="11"/>
      <c r="I15" s="11"/>
      <c r="J15" s="11"/>
    </row>
    <row r="16" customFormat="false" ht="15" hidden="false" customHeight="true" outlineLevel="0" collapsed="false">
      <c r="B16" s="10"/>
      <c r="C16" s="10" t="s">
        <v>33</v>
      </c>
      <c r="D16" s="10"/>
      <c r="E16" s="10" t="s">
        <v>247</v>
      </c>
      <c r="F16" s="10" t="s">
        <v>248</v>
      </c>
      <c r="G16" s="10" t="s">
        <v>249</v>
      </c>
      <c r="H16" s="10" t="s">
        <v>250</v>
      </c>
      <c r="I16" s="10" t="s">
        <v>18</v>
      </c>
      <c r="J16" s="10"/>
    </row>
    <row r="17" customFormat="false" ht="15.75" hidden="false" customHeight="true" outlineLevel="0" collapsed="false">
      <c r="B17" s="12"/>
      <c r="C17" s="13" t="s">
        <v>46</v>
      </c>
      <c r="D17" s="13"/>
      <c r="E17" s="12" t="n">
        <f aca="false">COUNTIF('Pauta Auditoría'!$D$10:$D$79,C17)</f>
        <v>33</v>
      </c>
      <c r="F17" s="12" t="n">
        <f aca="false">COUNTIFS('Pauta Auditoría'!$D$10:$D$79,C17,'Pauta Auditoría'!$I$10:$I$79,"C")</f>
        <v>0</v>
      </c>
      <c r="G17" s="12" t="n">
        <f aca="false">COUNTIFS('Pauta Auditoría'!$D$10:$D$79,C17,'Pauta Auditoría'!$I$10:$I$79,"NC")</f>
        <v>0</v>
      </c>
      <c r="H17" s="12" t="n">
        <f aca="false">COUNTIFS('Pauta Auditoría'!$D$10:$D$79,C17,'Pauta Auditoría'!$I$10:$I$79,"NA")</f>
        <v>0</v>
      </c>
      <c r="I17" s="15" t="str">
        <f aca="false">IF(F17+G17=0,"",F17/(F17+G17))</f>
        <v/>
      </c>
      <c r="J17" s="12"/>
    </row>
    <row r="18" customFormat="false" ht="15.75" hidden="false" customHeight="true" outlineLevel="0" collapsed="false">
      <c r="B18" s="12"/>
      <c r="C18" s="13" t="s">
        <v>74</v>
      </c>
      <c r="D18" s="13"/>
      <c r="E18" s="12" t="n">
        <f aca="false">COUNTIF('Pauta Auditoría'!$D$10:$D$79,C18)</f>
        <v>17</v>
      </c>
      <c r="F18" s="12" t="n">
        <f aca="false">COUNTIFS('Pauta Auditoría'!$D$10:$D$79,C18,'Pauta Auditoría'!$I$10:$I$79,"C")</f>
        <v>0</v>
      </c>
      <c r="G18" s="12" t="n">
        <f aca="false">COUNTIFS('Pauta Auditoría'!$D$10:$D$79,C18,'Pauta Auditoría'!$I$10:$I$79,"NC")</f>
        <v>0</v>
      </c>
      <c r="H18" s="12" t="n">
        <f aca="false">COUNTIFS('Pauta Auditoría'!$D$10:$D$79,C18,'Pauta Auditoría'!$I$10:$I$79,"NA")</f>
        <v>0</v>
      </c>
      <c r="I18" s="15" t="str">
        <f aca="false">IF(F18+G18=0,"",F18/(F18+G18))</f>
        <v/>
      </c>
      <c r="J18" s="12"/>
    </row>
    <row r="19" customFormat="false" ht="15.75" hidden="false" customHeight="true" outlineLevel="0" collapsed="false">
      <c r="B19" s="12"/>
      <c r="C19" s="13" t="s">
        <v>85</v>
      </c>
      <c r="D19" s="13"/>
      <c r="E19" s="12" t="n">
        <f aca="false">COUNTIF('Pauta Auditoría'!$D$10:$D$79,C19)</f>
        <v>15</v>
      </c>
      <c r="F19" s="12" t="n">
        <f aca="false">COUNTIFS('Pauta Auditoría'!$D$10:$D$79,C19,'Pauta Auditoría'!$I$10:$I$79,"C")</f>
        <v>0</v>
      </c>
      <c r="G19" s="12" t="n">
        <f aca="false">COUNTIFS('Pauta Auditoría'!$D$10:$D$79,C19,'Pauta Auditoría'!$I$10:$I$79,"NC")</f>
        <v>0</v>
      </c>
      <c r="H19" s="12" t="n">
        <f aca="false">COUNTIFS('Pauta Auditoría'!$D$10:$D$79,C19,'Pauta Auditoría'!$I$10:$I$79,"NA")</f>
        <v>0</v>
      </c>
      <c r="I19" s="15" t="str">
        <f aca="false">IF(F19+G19=0,"",F19/(F19+G19))</f>
        <v/>
      </c>
      <c r="J19" s="12"/>
    </row>
    <row r="21" customFormat="false" ht="15" hidden="false" customHeight="true" outlineLevel="0" collapsed="false">
      <c r="B21" s="11" t="s">
        <v>260</v>
      </c>
      <c r="C21" s="11"/>
      <c r="D21" s="11"/>
      <c r="E21" s="11"/>
      <c r="F21" s="11"/>
      <c r="G21" s="11"/>
      <c r="H21" s="11"/>
      <c r="I21" s="11"/>
      <c r="J21" s="11"/>
    </row>
    <row r="22" customFormat="false" ht="19.5" hidden="false" customHeight="true" outlineLevel="0" collapsed="false">
      <c r="B22" s="7" t="s">
        <v>261</v>
      </c>
      <c r="C22" s="7"/>
      <c r="D22" s="7"/>
      <c r="E22" s="18" t="str">
        <f aca="false">I13</f>
        <v/>
      </c>
      <c r="F22" s="18"/>
      <c r="G22" s="18"/>
      <c r="H22" s="18"/>
      <c r="I22" s="18"/>
      <c r="J22" s="18"/>
    </row>
    <row r="23" customFormat="false" ht="21.75" hidden="false" customHeight="true" outlineLevel="0" collapsed="false">
      <c r="B23" s="7" t="s">
        <v>262</v>
      </c>
      <c r="C23" s="7"/>
      <c r="D23" s="7"/>
      <c r="E23" s="3" t="str">
        <f aca="false">IF(F13+G13=0,"SIN EVALUAR",IF(J13&gt;0,"NO CONFORME – DESVIACIÓN CRÍTICA: DETENER Y REPORTAR",IF(I13&gt;=0.9,"SATISFACTORIO",IF(I13&gt;=0.75,"ACEPTABLE CON OBSERVACIONES","DEFICIENTE"))))</f>
        <v>SIN EVALUAR</v>
      </c>
      <c r="F23" s="3"/>
      <c r="G23" s="3"/>
      <c r="H23" s="3"/>
      <c r="I23" s="3"/>
      <c r="J23" s="3"/>
    </row>
    <row r="24" customFormat="false" ht="15" hidden="false" customHeight="true" outlineLevel="0" collapsed="false">
      <c r="B24" s="19" t="s">
        <v>263</v>
      </c>
      <c r="C24" s="19"/>
      <c r="D24" s="19"/>
      <c r="E24" s="19"/>
      <c r="F24" s="19"/>
      <c r="G24" s="19"/>
      <c r="H24" s="19"/>
      <c r="I24" s="19"/>
      <c r="J24" s="19"/>
    </row>
    <row r="26" customFormat="false" ht="45" hidden="false" customHeight="true" outlineLevel="0" collapsed="false">
      <c r="B26" s="9" t="s">
        <v>264</v>
      </c>
      <c r="C26" s="9"/>
      <c r="D26" s="9"/>
      <c r="E26" s="9"/>
      <c r="F26" s="9"/>
      <c r="G26" s="9"/>
      <c r="H26" s="9"/>
      <c r="I26" s="9"/>
      <c r="J26" s="9"/>
    </row>
    <row r="27" customFormat="false" ht="31.5" hidden="false" customHeight="true" outlineLevel="0" collapsed="false">
      <c r="B27" s="20" t="s">
        <v>265</v>
      </c>
      <c r="C27" s="20"/>
      <c r="D27" s="20"/>
      <c r="E27" s="20" t="s">
        <v>266</v>
      </c>
      <c r="F27" s="20"/>
      <c r="G27" s="20"/>
      <c r="H27" s="20"/>
      <c r="I27" s="20"/>
      <c r="J27" s="20"/>
    </row>
    <row r="28" customFormat="false" ht="31.5" hidden="false" customHeight="true" outlineLevel="0" collapsed="false">
      <c r="B28" s="20" t="s">
        <v>267</v>
      </c>
      <c r="C28" s="20"/>
      <c r="D28" s="20"/>
      <c r="E28" s="20" t="s">
        <v>268</v>
      </c>
      <c r="F28" s="20"/>
      <c r="G28" s="20"/>
      <c r="H28" s="20"/>
      <c r="I28" s="20"/>
      <c r="J28" s="20"/>
    </row>
  </sheetData>
  <mergeCells count="23">
    <mergeCell ref="B2:C4"/>
    <mergeCell ref="D2:H2"/>
    <mergeCell ref="I2:J2"/>
    <mergeCell ref="D3:H4"/>
    <mergeCell ref="I3:J3"/>
    <mergeCell ref="B6:J6"/>
    <mergeCell ref="B13:D13"/>
    <mergeCell ref="B15:J15"/>
    <mergeCell ref="C16:D16"/>
    <mergeCell ref="C17:D17"/>
    <mergeCell ref="C18:D18"/>
    <mergeCell ref="C19:D19"/>
    <mergeCell ref="B21:J21"/>
    <mergeCell ref="B22:D22"/>
    <mergeCell ref="E22:J22"/>
    <mergeCell ref="B23:D23"/>
    <mergeCell ref="E23:J23"/>
    <mergeCell ref="B24:J24"/>
    <mergeCell ref="B26:J26"/>
    <mergeCell ref="B27:D27"/>
    <mergeCell ref="E27:J27"/>
    <mergeCell ref="B28:D28"/>
    <mergeCell ref="E28:J28"/>
  </mergeCells>
  <conditionalFormatting sqref="E23">
    <cfRule type="expression" priority="2" aboveAverage="0" equalAverage="0" bottom="0" percent="0" rank="0" text="" dxfId="3">
      <formula>LEFT(E23,2)="NO"</formula>
    </cfRule>
    <cfRule type="expression" priority="3" aboveAverage="0" equalAverage="0" bottom="0" percent="0" rank="0" text="" dxfId="4">
      <formula>E23="DEFICIENTE"</formula>
    </cfRule>
    <cfRule type="expression" priority="4" aboveAverage="0" equalAverage="0" bottom="0" percent="0" rank="0" text="" dxfId="5">
      <formula>E23="ACEPTABLE CON OBSERVACIONES"</formula>
    </cfRule>
    <cfRule type="expression" priority="5" aboveAverage="0" equalAverage="0" bottom="0" percent="0" rank="0" text="" dxfId="6">
      <formula>E23="SATISFACTORIO"</formula>
    </cfRule>
  </conditionalFormatting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2026-10-26T21:07:59Z</dcterms:created>
  <dc:creator>openpyxl</dc:creator>
  <dc:description/>
  <dc:language>en-US</dc:language>
  <cp:lastModifiedBy/>
  <dcterms:modified xsi:type="dcterms:W3CDTF">2026-10-26T21:26:36Z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